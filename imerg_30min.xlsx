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JEV\Documents\Palawan_Shear_Line\"/>
    </mc:Choice>
  </mc:AlternateContent>
  <xr:revisionPtr revIDLastSave="0" documentId="13_ncr:1_{E7C5638F-750E-4692-AA91-4E87B6F10834}" xr6:coauthVersionLast="47" xr6:coauthVersionMax="47" xr10:uidLastSave="{00000000-0000-0000-0000-000000000000}"/>
  <bookViews>
    <workbookView xWindow="-28920" yWindow="-105" windowWidth="29040" windowHeight="15720" activeTab="1" xr2:uid="{D7B5F415-79CE-4E08-9607-C030AF28BE1E}"/>
  </bookViews>
  <sheets>
    <sheet name="imerg_30min" sheetId="1" r:id="rId1"/>
    <sheet name="chart" sheetId="2" r:id="rId2"/>
    <sheet name="WRF" sheetId="3" r:id="rId3"/>
    <sheet name="WRF_2" sheetId="4" r:id="rId4"/>
  </sheets>
  <definedNames>
    <definedName name="_xlnm._FilterDatabase" localSheetId="1" hidden="1">chart!$A$1:$B$145</definedName>
    <definedName name="_xlnm._FilterDatabase" localSheetId="0" hidden="1">imerg_30min!$G$1:$H$145</definedName>
    <definedName name="_xlnm._FilterDatabase" localSheetId="2" hidden="1">WRF!$E$1:$H$26</definedName>
    <definedName name="_xlnm._FilterDatabase" localSheetId="3" hidden="1">WRF_2!$E$1:$H$26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5" i="4"/>
  <c r="H5" i="4"/>
  <c r="F8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7" i="4"/>
  <c r="F6" i="4"/>
  <c r="F5" i="4"/>
  <c r="F8" i="3"/>
  <c r="F26" i="3"/>
  <c r="F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5" i="3"/>
  <c r="F6" i="3"/>
  <c r="F7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D145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7" i="1"/>
  <c r="C144" i="1"/>
  <c r="C6" i="1"/>
  <c r="C18" i="1"/>
  <c r="C24" i="1"/>
  <c r="C30" i="1"/>
  <c r="C36" i="1"/>
  <c r="C42" i="1"/>
  <c r="C48" i="1"/>
  <c r="C54" i="1"/>
  <c r="C60" i="1"/>
  <c r="C66" i="1"/>
  <c r="C72" i="1"/>
  <c r="C78" i="1"/>
  <c r="C84" i="1"/>
  <c r="C90" i="1"/>
  <c r="C96" i="1"/>
  <c r="C102" i="1"/>
  <c r="C108" i="1"/>
  <c r="C114" i="1"/>
  <c r="C120" i="1"/>
  <c r="C126" i="1"/>
  <c r="C132" i="1"/>
  <c r="C138" i="1"/>
  <c r="C12" i="1"/>
</calcChain>
</file>

<file path=xl/sharedStrings.xml><?xml version="1.0" encoding="utf-8"?>
<sst xmlns="http://schemas.openxmlformats.org/spreadsheetml/2006/main" count="154" uniqueCount="53">
  <si>
    <t>Timestamp</t>
  </si>
  <si>
    <t>Rainfall_mm</t>
  </si>
  <si>
    <t>07_03</t>
  </si>
  <si>
    <t>07_06</t>
  </si>
  <si>
    <t>07_09</t>
  </si>
  <si>
    <t>07_12</t>
  </si>
  <si>
    <t>07_15</t>
  </si>
  <si>
    <t>07_18</t>
  </si>
  <si>
    <t>07_21</t>
  </si>
  <si>
    <t>08_00</t>
  </si>
  <si>
    <t>08_03</t>
  </si>
  <si>
    <t>08_06</t>
  </si>
  <si>
    <t>08_09</t>
  </si>
  <si>
    <t>08_12</t>
  </si>
  <si>
    <t>08_15</t>
  </si>
  <si>
    <t>08_18</t>
  </si>
  <si>
    <t>08_21</t>
  </si>
  <si>
    <t>09_00</t>
  </si>
  <si>
    <t>09_03</t>
  </si>
  <si>
    <t>09_06</t>
  </si>
  <si>
    <t>09_12</t>
  </si>
  <si>
    <t>09_15</t>
  </si>
  <si>
    <t>09_18</t>
  </si>
  <si>
    <t>09_21</t>
  </si>
  <si>
    <t>09_09</t>
  </si>
  <si>
    <t>10_00</t>
  </si>
  <si>
    <t>3-hourly</t>
  </si>
  <si>
    <t>Date</t>
  </si>
  <si>
    <t>OBS</t>
  </si>
  <si>
    <t>IMERG</t>
  </si>
  <si>
    <t>Time</t>
  </si>
  <si>
    <t>09_01</t>
  </si>
  <si>
    <t>09_02</t>
  </si>
  <si>
    <t>09_04</t>
  </si>
  <si>
    <t>09_05</t>
  </si>
  <si>
    <t>09_07</t>
  </si>
  <si>
    <t>09_08</t>
  </si>
  <si>
    <t>09_10</t>
  </si>
  <si>
    <t>09_11</t>
  </si>
  <si>
    <t>09_13</t>
  </si>
  <si>
    <t>09_14</t>
  </si>
  <si>
    <t>09_16</t>
  </si>
  <si>
    <t>09_17</t>
  </si>
  <si>
    <t>09_19</t>
  </si>
  <si>
    <t>09_20</t>
  </si>
  <si>
    <t>09_22</t>
  </si>
  <si>
    <t>09_23</t>
  </si>
  <si>
    <t>08_12_3hr</t>
  </si>
  <si>
    <t>08_18_3hr</t>
  </si>
  <si>
    <t>09_00_3hr</t>
  </si>
  <si>
    <t>wrf_08_12</t>
  </si>
  <si>
    <t>wrf_08_18</t>
  </si>
  <si>
    <t>wrf_09_00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</si>
</sst>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IMERG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chart!$A$2:$A$25</c:f>
              <c:strCache>
                <c:ptCount val="24"/>
                <c:pt idx="1">
                  <c:v>07_06</c:v>
                </c:pt>
                <c:pt idx="3">
                  <c:v>07_12</c:v>
                </c:pt>
                <c:pt idx="5">
                  <c:v>07_18</c:v>
                </c:pt>
                <c:pt idx="7">
                  <c:v>08_00</c:v>
                </c:pt>
                <c:pt idx="9">
                  <c:v>08_06</c:v>
                </c:pt>
                <c:pt idx="11">
                  <c:v>08_12</c:v>
                </c:pt>
                <c:pt idx="13">
                  <c:v>08_18</c:v>
                </c:pt>
                <c:pt idx="15">
                  <c:v>09_00</c:v>
                </c:pt>
                <c:pt idx="17">
                  <c:v>09_06</c:v>
                </c:pt>
                <c:pt idx="19">
                  <c:v>09_12</c:v>
                </c:pt>
                <c:pt idx="21">
                  <c:v>09_18</c:v>
                </c:pt>
                <c:pt idx="23">
                  <c:v>10_00</c:v>
                </c:pt>
              </c:strCache>
            </c:strRef>
          </c:cat>
          <c:val>
            <c:numRef>
              <c:f>chart!$B$2:$B$25</c:f>
              <c:numCache>
                <c:formatCode>General</c:formatCode>
                <c:ptCount val="24"/>
                <c:pt idx="0">
                  <c:v>3.3400000000000003</c:v>
                </c:pt>
                <c:pt idx="1">
                  <c:v>0</c:v>
                </c:pt>
                <c:pt idx="2">
                  <c:v>0.26</c:v>
                </c:pt>
                <c:pt idx="3">
                  <c:v>9.6900000000000013</c:v>
                </c:pt>
                <c:pt idx="4">
                  <c:v>0</c:v>
                </c:pt>
                <c:pt idx="5">
                  <c:v>0.47</c:v>
                </c:pt>
                <c:pt idx="6">
                  <c:v>19.740000000000002</c:v>
                </c:pt>
                <c:pt idx="7">
                  <c:v>97.25</c:v>
                </c:pt>
                <c:pt idx="8">
                  <c:v>90.56</c:v>
                </c:pt>
                <c:pt idx="9">
                  <c:v>22.27</c:v>
                </c:pt>
                <c:pt idx="10">
                  <c:v>32.33</c:v>
                </c:pt>
                <c:pt idx="11">
                  <c:v>66.610000000000014</c:v>
                </c:pt>
                <c:pt idx="12">
                  <c:v>6.18</c:v>
                </c:pt>
                <c:pt idx="13">
                  <c:v>25.79</c:v>
                </c:pt>
                <c:pt idx="14">
                  <c:v>17.46</c:v>
                </c:pt>
                <c:pt idx="15">
                  <c:v>35.32</c:v>
                </c:pt>
                <c:pt idx="16">
                  <c:v>103.33000000000001</c:v>
                </c:pt>
                <c:pt idx="17">
                  <c:v>81.900000000000006</c:v>
                </c:pt>
                <c:pt idx="18">
                  <c:v>39.159999999999997</c:v>
                </c:pt>
                <c:pt idx="19">
                  <c:v>46.15</c:v>
                </c:pt>
                <c:pt idx="20">
                  <c:v>42.410000000000004</c:v>
                </c:pt>
                <c:pt idx="21">
                  <c:v>90.19</c:v>
                </c:pt>
                <c:pt idx="22">
                  <c:v>50.63</c:v>
                </c:pt>
                <c:pt idx="23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8-4398-BB7E-5E14FE8AB7EB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OBS</c:v>
                </c:pt>
              </c:strCache>
            </c:strRef>
          </c:tx>
          <c:spPr>
            <a:ln w="349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chart!$A$2:$A$25</c:f>
              <c:strCache>
                <c:ptCount val="24"/>
                <c:pt idx="1">
                  <c:v>07_06</c:v>
                </c:pt>
                <c:pt idx="3">
                  <c:v>07_12</c:v>
                </c:pt>
                <c:pt idx="5">
                  <c:v>07_18</c:v>
                </c:pt>
                <c:pt idx="7">
                  <c:v>08_00</c:v>
                </c:pt>
                <c:pt idx="9">
                  <c:v>08_06</c:v>
                </c:pt>
                <c:pt idx="11">
                  <c:v>08_12</c:v>
                </c:pt>
                <c:pt idx="13">
                  <c:v>08_18</c:v>
                </c:pt>
                <c:pt idx="15">
                  <c:v>09_00</c:v>
                </c:pt>
                <c:pt idx="17">
                  <c:v>09_06</c:v>
                </c:pt>
                <c:pt idx="19">
                  <c:v>09_12</c:v>
                </c:pt>
                <c:pt idx="21">
                  <c:v>09_18</c:v>
                </c:pt>
                <c:pt idx="23">
                  <c:v>10_00</c:v>
                </c:pt>
              </c:strCache>
            </c:strRef>
          </c:cat>
          <c:val>
            <c:numRef>
              <c:f>chart!$C$2:$C$25</c:f>
              <c:numCache>
                <c:formatCode>General</c:formatCode>
                <c:ptCount val="24"/>
                <c:pt idx="0">
                  <c:v>0.9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0.8</c:v>
                </c:pt>
                <c:pt idx="5">
                  <c:v>0</c:v>
                </c:pt>
                <c:pt idx="6">
                  <c:v>8</c:v>
                </c:pt>
                <c:pt idx="7">
                  <c:v>31</c:v>
                </c:pt>
                <c:pt idx="8">
                  <c:v>31</c:v>
                </c:pt>
                <c:pt idx="9">
                  <c:v>2</c:v>
                </c:pt>
                <c:pt idx="10">
                  <c:v>8</c:v>
                </c:pt>
                <c:pt idx="11">
                  <c:v>45</c:v>
                </c:pt>
                <c:pt idx="12">
                  <c:v>5</c:v>
                </c:pt>
                <c:pt idx="13">
                  <c:v>1</c:v>
                </c:pt>
                <c:pt idx="14">
                  <c:v>11</c:v>
                </c:pt>
                <c:pt idx="15">
                  <c:v>38</c:v>
                </c:pt>
                <c:pt idx="16">
                  <c:v>150</c:v>
                </c:pt>
                <c:pt idx="17">
                  <c:v>72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14</c:v>
                </c:pt>
                <c:pt idx="22">
                  <c:v>62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8-4398-BB7E-5E14FE8AB7EB}"/>
            </c:ext>
          </c:extLst>
        </c:ser>
        <c:ser>
          <c:idx val="2"/>
          <c:order val="2"/>
          <c:tx>
            <c:strRef>
              <c:f>chart!$D$1</c:f>
              <c:strCache>
                <c:ptCount val="1"/>
                <c:pt idx="0">
                  <c:v>wrf_08_12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chart!$A$2:$A$25</c:f>
              <c:strCache>
                <c:ptCount val="24"/>
                <c:pt idx="1">
                  <c:v>07_06</c:v>
                </c:pt>
                <c:pt idx="3">
                  <c:v>07_12</c:v>
                </c:pt>
                <c:pt idx="5">
                  <c:v>07_18</c:v>
                </c:pt>
                <c:pt idx="7">
                  <c:v>08_00</c:v>
                </c:pt>
                <c:pt idx="9">
                  <c:v>08_06</c:v>
                </c:pt>
                <c:pt idx="11">
                  <c:v>08_12</c:v>
                </c:pt>
                <c:pt idx="13">
                  <c:v>08_18</c:v>
                </c:pt>
                <c:pt idx="15">
                  <c:v>09_00</c:v>
                </c:pt>
                <c:pt idx="17">
                  <c:v>09_06</c:v>
                </c:pt>
                <c:pt idx="19">
                  <c:v>09_12</c:v>
                </c:pt>
                <c:pt idx="21">
                  <c:v>09_18</c:v>
                </c:pt>
                <c:pt idx="23">
                  <c:v>10_00</c:v>
                </c:pt>
              </c:strCache>
            </c:strRef>
          </c:cat>
          <c:val>
            <c:numRef>
              <c:f>chart!$D$2:$D$25</c:f>
              <c:numCache>
                <c:formatCode>General</c:formatCode>
                <c:ptCount val="24"/>
                <c:pt idx="16">
                  <c:v>20.8</c:v>
                </c:pt>
                <c:pt idx="17">
                  <c:v>0.69999999999999574</c:v>
                </c:pt>
                <c:pt idx="18">
                  <c:v>2.9000000000000057</c:v>
                </c:pt>
                <c:pt idx="19">
                  <c:v>0.89999999999999858</c:v>
                </c:pt>
                <c:pt idx="20">
                  <c:v>0</c:v>
                </c:pt>
                <c:pt idx="21">
                  <c:v>0.19999999999999574</c:v>
                </c:pt>
                <c:pt idx="22">
                  <c:v>1</c:v>
                </c:pt>
                <c:pt idx="23">
                  <c:v>0.20000000000000284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8-4398-BB7E-5E14FE8AB7EB}"/>
            </c:ext>
          </c:extLst>
        </c:ser>
        <c:ser>
          <c:idx val="3"/>
          <c:order val="3"/>
          <c:tx>
            <c:strRef>
              <c:f>chart!$E$1</c:f>
              <c:strCache>
                <c:ptCount val="1"/>
                <c:pt idx="0">
                  <c:v>wrf_08_18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chart!$A$2:$A$25</c:f>
              <c:strCache>
                <c:ptCount val="24"/>
                <c:pt idx="1">
                  <c:v>07_06</c:v>
                </c:pt>
                <c:pt idx="3">
                  <c:v>07_12</c:v>
                </c:pt>
                <c:pt idx="5">
                  <c:v>07_18</c:v>
                </c:pt>
                <c:pt idx="7">
                  <c:v>08_00</c:v>
                </c:pt>
                <c:pt idx="9">
                  <c:v>08_06</c:v>
                </c:pt>
                <c:pt idx="11">
                  <c:v>08_12</c:v>
                </c:pt>
                <c:pt idx="13">
                  <c:v>08_18</c:v>
                </c:pt>
                <c:pt idx="15">
                  <c:v>09_00</c:v>
                </c:pt>
                <c:pt idx="17">
                  <c:v>09_06</c:v>
                </c:pt>
                <c:pt idx="19">
                  <c:v>09_12</c:v>
                </c:pt>
                <c:pt idx="21">
                  <c:v>09_18</c:v>
                </c:pt>
                <c:pt idx="23">
                  <c:v>10_00</c:v>
                </c:pt>
              </c:strCache>
            </c:strRef>
          </c:cat>
          <c:val>
            <c:numRef>
              <c:f>chart!$E$2:$E$25</c:f>
              <c:numCache>
                <c:formatCode>General</c:formatCode>
                <c:ptCount val="24"/>
                <c:pt idx="16">
                  <c:v>1.8999999999999986</c:v>
                </c:pt>
                <c:pt idx="17">
                  <c:v>0.80000000000000071</c:v>
                </c:pt>
                <c:pt idx="18">
                  <c:v>1.3999999999999986</c:v>
                </c:pt>
                <c:pt idx="19">
                  <c:v>0.5</c:v>
                </c:pt>
                <c:pt idx="20">
                  <c:v>0</c:v>
                </c:pt>
                <c:pt idx="21">
                  <c:v>0.20000000000000284</c:v>
                </c:pt>
                <c:pt idx="22">
                  <c:v>6.1999999999999957</c:v>
                </c:pt>
                <c:pt idx="23">
                  <c:v>1.2000000000000028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8-4398-BB7E-5E14FE8AB7EB}"/>
            </c:ext>
          </c:extLst>
        </c:ser>
        <c:ser>
          <c:idx val="4"/>
          <c:order val="4"/>
          <c:tx>
            <c:strRef>
              <c:f>chart!$F$1</c:f>
              <c:strCache>
                <c:ptCount val="1"/>
                <c:pt idx="0">
                  <c:v>wrf_09_00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chart!$A$2:$A$25</c:f>
              <c:strCache>
                <c:ptCount val="24"/>
                <c:pt idx="1">
                  <c:v>07_06</c:v>
                </c:pt>
                <c:pt idx="3">
                  <c:v>07_12</c:v>
                </c:pt>
                <c:pt idx="5">
                  <c:v>07_18</c:v>
                </c:pt>
                <c:pt idx="7">
                  <c:v>08_00</c:v>
                </c:pt>
                <c:pt idx="9">
                  <c:v>08_06</c:v>
                </c:pt>
                <c:pt idx="11">
                  <c:v>08_12</c:v>
                </c:pt>
                <c:pt idx="13">
                  <c:v>08_18</c:v>
                </c:pt>
                <c:pt idx="15">
                  <c:v>09_00</c:v>
                </c:pt>
                <c:pt idx="17">
                  <c:v>09_06</c:v>
                </c:pt>
                <c:pt idx="19">
                  <c:v>09_12</c:v>
                </c:pt>
                <c:pt idx="21">
                  <c:v>09_18</c:v>
                </c:pt>
                <c:pt idx="23">
                  <c:v>10_00</c:v>
                </c:pt>
              </c:strCache>
            </c:strRef>
          </c:cat>
          <c:val>
            <c:numRef>
              <c:f>chart!$F$2:$F$25</c:f>
              <c:numCache>
                <c:formatCode>General</c:formatCode>
                <c:ptCount val="24"/>
                <c:pt idx="16">
                  <c:v>0</c:v>
                </c:pt>
                <c:pt idx="17">
                  <c:v>4.9000000000000004</c:v>
                </c:pt>
                <c:pt idx="18">
                  <c:v>0.19999999999999929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0.10000000000000053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B8-4398-BB7E-5E14FE8AB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988767"/>
        <c:axId val="903990687"/>
      </c:lineChart>
      <c:catAx>
        <c:axId val="90398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200">
                    <a:latin typeface="Arial" panose="020B0604020202020204" pitchFamily="34" charset="0"/>
                    <a:cs typeface="Arial" panose="020B0604020202020204" pitchFamily="34" charset="0"/>
                  </a:rPr>
                  <a:t>Time (day_hour, UTC)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3990687"/>
        <c:crosses val="autoZero"/>
        <c:auto val="1"/>
        <c:lblAlgn val="ctr"/>
        <c:lblOffset val="100"/>
        <c:noMultiLvlLbl val="0"/>
      </c:catAx>
      <c:valAx>
        <c:axId val="9039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rial" panose="020B0604020202020204" pitchFamily="34" charset="0"/>
                    <a:cs typeface="Arial" panose="020B0604020202020204" pitchFamily="34" charset="0"/>
                  </a:rPr>
                  <a:t>Accumulated</a:t>
                </a:r>
                <a:r>
                  <a:rPr lang="en-US" sz="12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Rainfall (mm 3h</a:t>
                </a:r>
                <a:r>
                  <a:rPr lang="en-US" sz="1200" baseline="30000"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sz="1200" baseline="0"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US" sz="12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3988767"/>
        <c:crosses val="autoZero"/>
        <c:crossBetween val="midCat"/>
        <c:min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02056952912233"/>
          <c:y val="6.5967927551975128E-2"/>
          <c:w val="0.46558059552900716"/>
          <c:h val="5.2386856182418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19046</xdr:colOff>
      <xdr:row>5</xdr:row>
      <xdr:rowOff>119062</xdr:rowOff>
    </xdr:from>
    <xdr:to>
      <xdr:col>21</xdr:col>
      <xdr:colOff>152399</xdr:colOff>
      <xdr:row>25</xdr:row>
      <xdr:rowOff>104776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ED97B2-D1E1-7801-1458-FA402B8A1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635E-754C-4080-8809-3E0BEDC2B6CE}">
  <sheetPr filterMode="1"/>
  <dimension ref="A1:H145"/>
  <sheetViews>
    <sheetView topLeftCell="A37" zoomScaleNormal="100" workbookViewId="0">
      <selection activeCell="H1" sqref="H1:H145"/>
    </sheetView>
  </sheetViews>
  <sheetFormatPr defaultRowHeight="15" x14ac:dyDescent="0.25"/>
  <cols>
    <col min="1" max="1" width="15.85546875" bestFit="1" customWidth="1"/>
    <col min="5" max="5" width="12.140625" bestFit="1" customWidth="1"/>
  </cols>
  <sheetData>
    <row r="1" spans="1:8" x14ac:dyDescent="0.25">
      <c r="A1" t="s">
        <v>0</v>
      </c>
      <c r="B1" t="s">
        <v>27</v>
      </c>
      <c r="C1" t="s">
        <v>26</v>
      </c>
      <c r="E1" t="s">
        <v>1</v>
      </c>
      <c r="G1" t="s">
        <v>27</v>
      </c>
      <c r="H1" t="s">
        <v>26</v>
      </c>
    </row>
    <row r="2" spans="1:8" hidden="1" x14ac:dyDescent="0.25">
      <c r="A2" s="1">
        <v>45695</v>
      </c>
      <c r="E2">
        <v>7.0000000000000007E-2</v>
      </c>
    </row>
    <row r="3" spans="1:8" hidden="1" x14ac:dyDescent="0.25">
      <c r="A3" s="1">
        <v>45695.020833333336</v>
      </c>
      <c r="E3">
        <v>1.19</v>
      </c>
    </row>
    <row r="4" spans="1:8" hidden="1" x14ac:dyDescent="0.25">
      <c r="A4" s="1">
        <v>45695.041666666664</v>
      </c>
      <c r="E4">
        <v>1.55</v>
      </c>
    </row>
    <row r="5" spans="1:8" hidden="1" x14ac:dyDescent="0.25">
      <c r="A5" s="1">
        <v>45695.0625</v>
      </c>
      <c r="E5">
        <v>0.31</v>
      </c>
    </row>
    <row r="6" spans="1:8" hidden="1" x14ac:dyDescent="0.25">
      <c r="A6" s="1">
        <v>45695.083333333336</v>
      </c>
      <c r="C6">
        <f>SUM(E2:E6)</f>
        <v>3.3400000000000003</v>
      </c>
      <c r="E6">
        <v>0.22</v>
      </c>
    </row>
    <row r="7" spans="1:8" x14ac:dyDescent="0.25">
      <c r="A7" s="1">
        <v>45695.104166666664</v>
      </c>
      <c r="B7" t="s">
        <v>2</v>
      </c>
      <c r="D7">
        <f>SUM(E2:E7)</f>
        <v>3.3400000000000003</v>
      </c>
      <c r="E7">
        <v>0</v>
      </c>
      <c r="G7" t="s">
        <v>2</v>
      </c>
      <c r="H7">
        <v>3.3400000000000003</v>
      </c>
    </row>
    <row r="8" spans="1:8" hidden="1" x14ac:dyDescent="0.25">
      <c r="A8" s="1">
        <v>45695.125</v>
      </c>
      <c r="D8">
        <f t="shared" ref="D8:D71" si="0">SUM(E3:E8)</f>
        <v>3.2700000000000005</v>
      </c>
      <c r="E8">
        <v>0</v>
      </c>
      <c r="H8">
        <v>3.2700000000000005</v>
      </c>
    </row>
    <row r="9" spans="1:8" hidden="1" x14ac:dyDescent="0.25">
      <c r="A9" s="1">
        <v>45695.145833333336</v>
      </c>
      <c r="D9">
        <f t="shared" si="0"/>
        <v>2.08</v>
      </c>
      <c r="E9">
        <v>0</v>
      </c>
      <c r="H9">
        <v>2.08</v>
      </c>
    </row>
    <row r="10" spans="1:8" hidden="1" x14ac:dyDescent="0.25">
      <c r="A10" s="1">
        <v>45695.166666666664</v>
      </c>
      <c r="D10">
        <f t="shared" si="0"/>
        <v>0.53</v>
      </c>
      <c r="E10">
        <v>0</v>
      </c>
      <c r="H10">
        <v>0.53</v>
      </c>
    </row>
    <row r="11" spans="1:8" hidden="1" x14ac:dyDescent="0.25">
      <c r="A11" s="1">
        <v>45695.1875</v>
      </c>
      <c r="D11">
        <f t="shared" si="0"/>
        <v>0.22</v>
      </c>
      <c r="E11">
        <v>0</v>
      </c>
      <c r="H11">
        <v>0.22</v>
      </c>
    </row>
    <row r="12" spans="1:8" hidden="1" x14ac:dyDescent="0.25">
      <c r="A12" s="1">
        <v>45695.208333333336</v>
      </c>
      <c r="C12">
        <f>SUM(E7:E12)</f>
        <v>0</v>
      </c>
      <c r="D12">
        <f t="shared" si="0"/>
        <v>0</v>
      </c>
      <c r="E12">
        <v>0</v>
      </c>
      <c r="H12">
        <v>0</v>
      </c>
    </row>
    <row r="13" spans="1:8" x14ac:dyDescent="0.25">
      <c r="A13" s="1">
        <v>45695.229166666664</v>
      </c>
      <c r="B13" t="s">
        <v>3</v>
      </c>
      <c r="D13">
        <f t="shared" si="0"/>
        <v>0</v>
      </c>
      <c r="E13">
        <v>0</v>
      </c>
      <c r="G13" t="s">
        <v>3</v>
      </c>
      <c r="H13">
        <v>0</v>
      </c>
    </row>
    <row r="14" spans="1:8" hidden="1" x14ac:dyDescent="0.25">
      <c r="A14" s="1">
        <v>45695.25</v>
      </c>
      <c r="D14">
        <f t="shared" si="0"/>
        <v>0</v>
      </c>
      <c r="E14">
        <v>0</v>
      </c>
      <c r="H14">
        <v>0</v>
      </c>
    </row>
    <row r="15" spans="1:8" hidden="1" x14ac:dyDescent="0.25">
      <c r="A15" s="1">
        <v>45695.270833333336</v>
      </c>
      <c r="D15">
        <f t="shared" si="0"/>
        <v>0</v>
      </c>
      <c r="E15">
        <v>0</v>
      </c>
      <c r="H15">
        <v>0</v>
      </c>
    </row>
    <row r="16" spans="1:8" hidden="1" x14ac:dyDescent="0.25">
      <c r="A16" s="1">
        <v>45695.291666666664</v>
      </c>
      <c r="D16">
        <f t="shared" si="0"/>
        <v>0</v>
      </c>
      <c r="E16">
        <v>0</v>
      </c>
      <c r="H16">
        <v>0</v>
      </c>
    </row>
    <row r="17" spans="1:8" hidden="1" x14ac:dyDescent="0.25">
      <c r="A17" s="1">
        <v>45695.3125</v>
      </c>
      <c r="D17">
        <f t="shared" si="0"/>
        <v>0.1</v>
      </c>
      <c r="E17">
        <v>0.1</v>
      </c>
      <c r="H17">
        <v>0.1</v>
      </c>
    </row>
    <row r="18" spans="1:8" hidden="1" x14ac:dyDescent="0.25">
      <c r="A18" s="1">
        <v>45695.333333333336</v>
      </c>
      <c r="C18">
        <f>SUM(E13:E18)</f>
        <v>0.26</v>
      </c>
      <c r="D18">
        <f t="shared" si="0"/>
        <v>0.26</v>
      </c>
      <c r="E18">
        <v>0.16</v>
      </c>
      <c r="H18">
        <v>0.26</v>
      </c>
    </row>
    <row r="19" spans="1:8" x14ac:dyDescent="0.25">
      <c r="A19" s="1">
        <v>45695.354166666664</v>
      </c>
      <c r="B19" t="s">
        <v>4</v>
      </c>
      <c r="D19">
        <f t="shared" si="0"/>
        <v>0.26</v>
      </c>
      <c r="E19">
        <v>0</v>
      </c>
      <c r="G19" t="s">
        <v>4</v>
      </c>
      <c r="H19">
        <v>0.26</v>
      </c>
    </row>
    <row r="20" spans="1:8" hidden="1" x14ac:dyDescent="0.25">
      <c r="A20" s="1">
        <v>45695.375</v>
      </c>
      <c r="D20">
        <f t="shared" si="0"/>
        <v>0.26</v>
      </c>
      <c r="E20">
        <v>0</v>
      </c>
      <c r="H20">
        <v>0.26</v>
      </c>
    </row>
    <row r="21" spans="1:8" hidden="1" x14ac:dyDescent="0.25">
      <c r="A21" s="1">
        <v>45695.395833333336</v>
      </c>
      <c r="D21">
        <f t="shared" si="0"/>
        <v>0.26</v>
      </c>
      <c r="E21">
        <v>0</v>
      </c>
      <c r="H21">
        <v>0.26</v>
      </c>
    </row>
    <row r="22" spans="1:8" hidden="1" x14ac:dyDescent="0.25">
      <c r="A22" s="1">
        <v>45695.416666666664</v>
      </c>
      <c r="D22">
        <f t="shared" si="0"/>
        <v>2.67</v>
      </c>
      <c r="E22">
        <v>2.41</v>
      </c>
      <c r="H22">
        <v>2.67</v>
      </c>
    </row>
    <row r="23" spans="1:8" hidden="1" x14ac:dyDescent="0.25">
      <c r="A23" s="1">
        <v>45695.4375</v>
      </c>
      <c r="D23">
        <f t="shared" si="0"/>
        <v>2.6700000000000004</v>
      </c>
      <c r="E23">
        <v>0.1</v>
      </c>
      <c r="H23">
        <v>2.6700000000000004</v>
      </c>
    </row>
    <row r="24" spans="1:8" hidden="1" x14ac:dyDescent="0.25">
      <c r="A24" s="1">
        <v>45695.458333333336</v>
      </c>
      <c r="C24">
        <f>SUM(E19:E24)</f>
        <v>8.2000000000000011</v>
      </c>
      <c r="D24">
        <f t="shared" si="0"/>
        <v>8.2000000000000011</v>
      </c>
      <c r="E24">
        <v>5.69</v>
      </c>
      <c r="H24">
        <v>8.2000000000000011</v>
      </c>
    </row>
    <row r="25" spans="1:8" x14ac:dyDescent="0.25">
      <c r="A25" s="1">
        <v>45695.479166666664</v>
      </c>
      <c r="B25" t="s">
        <v>5</v>
      </c>
      <c r="D25">
        <f t="shared" si="0"/>
        <v>9.6900000000000013</v>
      </c>
      <c r="E25">
        <v>1.49</v>
      </c>
      <c r="G25" t="s">
        <v>5</v>
      </c>
      <c r="H25">
        <v>9.6900000000000013</v>
      </c>
    </row>
    <row r="26" spans="1:8" hidden="1" x14ac:dyDescent="0.25">
      <c r="A26" s="1">
        <v>45695.5</v>
      </c>
      <c r="D26">
        <f t="shared" si="0"/>
        <v>9.6900000000000013</v>
      </c>
      <c r="E26">
        <v>0</v>
      </c>
      <c r="H26">
        <v>9.6900000000000013</v>
      </c>
    </row>
    <row r="27" spans="1:8" hidden="1" x14ac:dyDescent="0.25">
      <c r="A27" s="1">
        <v>45695.520833333336</v>
      </c>
      <c r="D27">
        <f t="shared" si="0"/>
        <v>9.6900000000000013</v>
      </c>
      <c r="E27">
        <v>0</v>
      </c>
      <c r="H27">
        <v>9.6900000000000013</v>
      </c>
    </row>
    <row r="28" spans="1:8" hidden="1" x14ac:dyDescent="0.25">
      <c r="A28" s="1">
        <v>45695.541666666664</v>
      </c>
      <c r="D28">
        <f t="shared" si="0"/>
        <v>7.28</v>
      </c>
      <c r="E28">
        <v>0</v>
      </c>
      <c r="H28">
        <v>7.28</v>
      </c>
    </row>
    <row r="29" spans="1:8" hidden="1" x14ac:dyDescent="0.25">
      <c r="A29" s="1">
        <v>45695.5625</v>
      </c>
      <c r="D29">
        <f t="shared" si="0"/>
        <v>7.1800000000000006</v>
      </c>
      <c r="E29">
        <v>0</v>
      </c>
      <c r="H29">
        <v>7.1800000000000006</v>
      </c>
    </row>
    <row r="30" spans="1:8" hidden="1" x14ac:dyDescent="0.25">
      <c r="A30" s="1">
        <v>45695.583333333336</v>
      </c>
      <c r="C30">
        <f>SUM(E25:E30)</f>
        <v>1.49</v>
      </c>
      <c r="D30">
        <f t="shared" si="0"/>
        <v>1.49</v>
      </c>
      <c r="E30">
        <v>0</v>
      </c>
      <c r="H30">
        <v>1.49</v>
      </c>
    </row>
    <row r="31" spans="1:8" x14ac:dyDescent="0.25">
      <c r="A31" s="1">
        <v>45695.604166666664</v>
      </c>
      <c r="B31" t="s">
        <v>6</v>
      </c>
      <c r="D31">
        <f t="shared" si="0"/>
        <v>0</v>
      </c>
      <c r="E31">
        <v>0</v>
      </c>
      <c r="G31" t="s">
        <v>6</v>
      </c>
      <c r="H31">
        <v>0</v>
      </c>
    </row>
    <row r="32" spans="1:8" hidden="1" x14ac:dyDescent="0.25">
      <c r="A32" s="1">
        <v>45695.625</v>
      </c>
      <c r="D32">
        <f t="shared" si="0"/>
        <v>0</v>
      </c>
      <c r="E32">
        <v>0</v>
      </c>
      <c r="H32">
        <v>0</v>
      </c>
    </row>
    <row r="33" spans="1:8" hidden="1" x14ac:dyDescent="0.25">
      <c r="A33" s="1">
        <v>45695.645833333336</v>
      </c>
      <c r="D33">
        <f t="shared" si="0"/>
        <v>0</v>
      </c>
      <c r="E33">
        <v>0</v>
      </c>
      <c r="H33">
        <v>0</v>
      </c>
    </row>
    <row r="34" spans="1:8" hidden="1" x14ac:dyDescent="0.25">
      <c r="A34" s="1">
        <v>45695.666666666664</v>
      </c>
      <c r="D34">
        <f t="shared" si="0"/>
        <v>0.05</v>
      </c>
      <c r="E34">
        <v>0.05</v>
      </c>
      <c r="H34">
        <v>0.05</v>
      </c>
    </row>
    <row r="35" spans="1:8" hidden="1" x14ac:dyDescent="0.25">
      <c r="A35" s="1">
        <v>45695.6875</v>
      </c>
      <c r="D35">
        <f t="shared" si="0"/>
        <v>0.47</v>
      </c>
      <c r="E35">
        <v>0.42</v>
      </c>
      <c r="H35">
        <v>0.47</v>
      </c>
    </row>
    <row r="36" spans="1:8" hidden="1" x14ac:dyDescent="0.25">
      <c r="A36" s="1">
        <v>45695.708333333336</v>
      </c>
      <c r="C36">
        <f>SUM(E31:E36)</f>
        <v>0.47</v>
      </c>
      <c r="D36">
        <f t="shared" si="0"/>
        <v>0.47</v>
      </c>
      <c r="E36">
        <v>0</v>
      </c>
      <c r="H36">
        <v>0.47</v>
      </c>
    </row>
    <row r="37" spans="1:8" x14ac:dyDescent="0.25">
      <c r="A37" s="1">
        <v>45695.729166666664</v>
      </c>
      <c r="B37" t="s">
        <v>7</v>
      </c>
      <c r="D37">
        <f t="shared" si="0"/>
        <v>0.47</v>
      </c>
      <c r="E37">
        <v>0</v>
      </c>
      <c r="G37" t="s">
        <v>7</v>
      </c>
      <c r="H37">
        <v>0.47</v>
      </c>
    </row>
    <row r="38" spans="1:8" hidden="1" x14ac:dyDescent="0.25">
      <c r="A38" s="1">
        <v>45695.75</v>
      </c>
      <c r="D38">
        <f t="shared" si="0"/>
        <v>0.47</v>
      </c>
      <c r="E38">
        <v>0</v>
      </c>
      <c r="H38">
        <v>0.47</v>
      </c>
    </row>
    <row r="39" spans="1:8" hidden="1" x14ac:dyDescent="0.25">
      <c r="A39" s="1">
        <v>45695.770833333336</v>
      </c>
      <c r="D39">
        <f t="shared" si="0"/>
        <v>0.47</v>
      </c>
      <c r="E39">
        <v>0</v>
      </c>
      <c r="H39">
        <v>0.47</v>
      </c>
    </row>
    <row r="40" spans="1:8" hidden="1" x14ac:dyDescent="0.25">
      <c r="A40" s="1">
        <v>45695.791666666664</v>
      </c>
      <c r="D40">
        <f t="shared" si="0"/>
        <v>0.42</v>
      </c>
      <c r="E40">
        <v>0</v>
      </c>
      <c r="H40">
        <v>0.42</v>
      </c>
    </row>
    <row r="41" spans="1:8" hidden="1" x14ac:dyDescent="0.25">
      <c r="A41" s="1">
        <v>45695.8125</v>
      </c>
      <c r="D41">
        <f t="shared" si="0"/>
        <v>0.73</v>
      </c>
      <c r="E41">
        <v>0.73</v>
      </c>
      <c r="H41">
        <v>0.73</v>
      </c>
    </row>
    <row r="42" spans="1:8" hidden="1" x14ac:dyDescent="0.25">
      <c r="A42" s="1">
        <v>45695.833333333336</v>
      </c>
      <c r="C42">
        <f>SUM(E37:E42)</f>
        <v>7.76</v>
      </c>
      <c r="D42">
        <f t="shared" si="0"/>
        <v>7.76</v>
      </c>
      <c r="E42">
        <v>7.03</v>
      </c>
      <c r="H42">
        <v>7.76</v>
      </c>
    </row>
    <row r="43" spans="1:8" x14ac:dyDescent="0.25">
      <c r="A43" s="1">
        <v>45695.854166666664</v>
      </c>
      <c r="B43" t="s">
        <v>8</v>
      </c>
      <c r="D43">
        <f t="shared" si="0"/>
        <v>19.740000000000002</v>
      </c>
      <c r="E43">
        <v>11.98</v>
      </c>
      <c r="G43" t="s">
        <v>8</v>
      </c>
      <c r="H43">
        <v>19.740000000000002</v>
      </c>
    </row>
    <row r="44" spans="1:8" hidden="1" x14ac:dyDescent="0.25">
      <c r="A44" s="1">
        <v>45695.875</v>
      </c>
      <c r="D44">
        <f t="shared" si="0"/>
        <v>39.57</v>
      </c>
      <c r="E44">
        <v>19.829999999999998</v>
      </c>
      <c r="H44">
        <v>39.57</v>
      </c>
    </row>
    <row r="45" spans="1:8" hidden="1" x14ac:dyDescent="0.25">
      <c r="A45" s="1">
        <v>45695.895833333336</v>
      </c>
      <c r="D45">
        <f t="shared" si="0"/>
        <v>59.4</v>
      </c>
      <c r="E45">
        <v>19.829999999999998</v>
      </c>
      <c r="H45">
        <v>59.4</v>
      </c>
    </row>
    <row r="46" spans="1:8" hidden="1" x14ac:dyDescent="0.25">
      <c r="A46" s="1">
        <v>45695.916666666664</v>
      </c>
      <c r="D46">
        <f t="shared" si="0"/>
        <v>78.77</v>
      </c>
      <c r="E46">
        <v>19.37</v>
      </c>
      <c r="H46">
        <v>78.77</v>
      </c>
    </row>
    <row r="47" spans="1:8" hidden="1" x14ac:dyDescent="0.25">
      <c r="A47" s="1">
        <v>45695.9375</v>
      </c>
      <c r="D47">
        <f t="shared" si="0"/>
        <v>88.550000000000011</v>
      </c>
      <c r="E47">
        <v>10.51</v>
      </c>
      <c r="H47">
        <v>88.550000000000011</v>
      </c>
    </row>
    <row r="48" spans="1:8" hidden="1" x14ac:dyDescent="0.25">
      <c r="A48" s="1">
        <v>45695.958333333336</v>
      </c>
      <c r="C48">
        <f>SUM(E43:E48)</f>
        <v>94.690000000000012</v>
      </c>
      <c r="D48">
        <f t="shared" si="0"/>
        <v>94.690000000000012</v>
      </c>
      <c r="E48">
        <v>13.17</v>
      </c>
      <c r="H48">
        <v>94.690000000000012</v>
      </c>
    </row>
    <row r="49" spans="1:8" x14ac:dyDescent="0.25">
      <c r="A49" s="1">
        <v>45695.979166666664</v>
      </c>
      <c r="B49" t="s">
        <v>9</v>
      </c>
      <c r="D49">
        <f t="shared" si="0"/>
        <v>97.25</v>
      </c>
      <c r="E49">
        <v>14.54</v>
      </c>
      <c r="G49" t="s">
        <v>9</v>
      </c>
      <c r="H49">
        <v>97.25</v>
      </c>
    </row>
    <row r="50" spans="1:8" hidden="1" x14ac:dyDescent="0.25">
      <c r="A50" s="1">
        <v>45696</v>
      </c>
      <c r="D50">
        <f t="shared" si="0"/>
        <v>87.56</v>
      </c>
      <c r="E50">
        <v>10.14</v>
      </c>
      <c r="H50">
        <v>87.56</v>
      </c>
    </row>
    <row r="51" spans="1:8" hidden="1" x14ac:dyDescent="0.25">
      <c r="A51" s="1">
        <v>45696.020833333336</v>
      </c>
      <c r="D51">
        <f t="shared" si="0"/>
        <v>80.400000000000006</v>
      </c>
      <c r="E51">
        <v>12.67</v>
      </c>
      <c r="H51">
        <v>80.400000000000006</v>
      </c>
    </row>
    <row r="52" spans="1:8" hidden="1" x14ac:dyDescent="0.25">
      <c r="A52" s="1">
        <v>45696.041666666664</v>
      </c>
      <c r="D52">
        <f t="shared" si="0"/>
        <v>74.38</v>
      </c>
      <c r="E52">
        <v>13.35</v>
      </c>
      <c r="H52">
        <v>74.38</v>
      </c>
    </row>
    <row r="53" spans="1:8" hidden="1" x14ac:dyDescent="0.25">
      <c r="A53" s="1">
        <v>45696.0625</v>
      </c>
      <c r="D53">
        <f t="shared" si="0"/>
        <v>83.64</v>
      </c>
      <c r="E53">
        <v>19.77</v>
      </c>
      <c r="H53">
        <v>83.64</v>
      </c>
    </row>
    <row r="54" spans="1:8" hidden="1" x14ac:dyDescent="0.25">
      <c r="A54" s="1">
        <v>45696.083333333336</v>
      </c>
      <c r="C54">
        <f>SUM(E49:E54)</f>
        <v>93.86</v>
      </c>
      <c r="D54">
        <f t="shared" si="0"/>
        <v>93.86</v>
      </c>
      <c r="E54">
        <v>23.39</v>
      </c>
      <c r="H54">
        <v>93.86</v>
      </c>
    </row>
    <row r="55" spans="1:8" x14ac:dyDescent="0.25">
      <c r="A55" s="1">
        <v>45696.104166666664</v>
      </c>
      <c r="B55" t="s">
        <v>10</v>
      </c>
      <c r="D55">
        <f t="shared" si="0"/>
        <v>90.56</v>
      </c>
      <c r="E55">
        <v>11.24</v>
      </c>
      <c r="G55" t="s">
        <v>10</v>
      </c>
      <c r="H55">
        <v>90.56</v>
      </c>
    </row>
    <row r="56" spans="1:8" hidden="1" x14ac:dyDescent="0.25">
      <c r="A56" s="1">
        <v>45696.125</v>
      </c>
      <c r="D56">
        <f t="shared" si="0"/>
        <v>88.03</v>
      </c>
      <c r="E56">
        <v>7.61</v>
      </c>
      <c r="H56">
        <v>88.03</v>
      </c>
    </row>
    <row r="57" spans="1:8" hidden="1" x14ac:dyDescent="0.25">
      <c r="A57" s="1">
        <v>45696.145833333336</v>
      </c>
      <c r="D57">
        <f t="shared" si="0"/>
        <v>79.52</v>
      </c>
      <c r="E57">
        <v>4.16</v>
      </c>
      <c r="H57">
        <v>79.52</v>
      </c>
    </row>
    <row r="58" spans="1:8" hidden="1" x14ac:dyDescent="0.25">
      <c r="A58" s="1">
        <v>45696.166666666664</v>
      </c>
      <c r="D58">
        <f t="shared" si="0"/>
        <v>69.820000000000007</v>
      </c>
      <c r="E58">
        <v>3.65</v>
      </c>
      <c r="H58">
        <v>69.820000000000007</v>
      </c>
    </row>
    <row r="59" spans="1:8" hidden="1" x14ac:dyDescent="0.25">
      <c r="A59" s="1">
        <v>45696.1875</v>
      </c>
      <c r="D59">
        <f t="shared" si="0"/>
        <v>53.95</v>
      </c>
      <c r="E59">
        <v>3.9</v>
      </c>
      <c r="H59">
        <v>53.95</v>
      </c>
    </row>
    <row r="60" spans="1:8" hidden="1" x14ac:dyDescent="0.25">
      <c r="A60" s="1">
        <v>45696.208333333336</v>
      </c>
      <c r="C60">
        <f>SUM(E55:E60)</f>
        <v>32.29</v>
      </c>
      <c r="D60">
        <f t="shared" si="0"/>
        <v>32.29</v>
      </c>
      <c r="E60">
        <v>1.73</v>
      </c>
      <c r="H60">
        <v>32.29</v>
      </c>
    </row>
    <row r="61" spans="1:8" x14ac:dyDescent="0.25">
      <c r="A61" s="1">
        <v>45696.229166666664</v>
      </c>
      <c r="B61" t="s">
        <v>11</v>
      </c>
      <c r="D61">
        <f t="shared" si="0"/>
        <v>22.27</v>
      </c>
      <c r="E61">
        <v>1.22</v>
      </c>
      <c r="G61" t="s">
        <v>11</v>
      </c>
      <c r="H61">
        <v>22.27</v>
      </c>
    </row>
    <row r="62" spans="1:8" hidden="1" x14ac:dyDescent="0.25">
      <c r="A62" s="1">
        <v>45696.25</v>
      </c>
      <c r="D62">
        <f t="shared" si="0"/>
        <v>18.770000000000003</v>
      </c>
      <c r="E62">
        <v>4.1100000000000003</v>
      </c>
      <c r="H62">
        <v>18.770000000000003</v>
      </c>
    </row>
    <row r="63" spans="1:8" hidden="1" x14ac:dyDescent="0.25">
      <c r="A63" s="1">
        <v>45696.270833333336</v>
      </c>
      <c r="D63">
        <f t="shared" si="0"/>
        <v>16.48</v>
      </c>
      <c r="E63">
        <v>1.87</v>
      </c>
      <c r="H63">
        <v>16.48</v>
      </c>
    </row>
    <row r="64" spans="1:8" hidden="1" x14ac:dyDescent="0.25">
      <c r="A64" s="1">
        <v>45696.291666666664</v>
      </c>
      <c r="D64">
        <f t="shared" si="0"/>
        <v>17.8</v>
      </c>
      <c r="E64">
        <v>4.97</v>
      </c>
      <c r="H64">
        <v>17.8</v>
      </c>
    </row>
    <row r="65" spans="1:8" hidden="1" x14ac:dyDescent="0.25">
      <c r="A65" s="1">
        <v>45696.3125</v>
      </c>
      <c r="D65">
        <f t="shared" si="0"/>
        <v>21.759999999999998</v>
      </c>
      <c r="E65">
        <v>7.86</v>
      </c>
      <c r="H65">
        <v>21.759999999999998</v>
      </c>
    </row>
    <row r="66" spans="1:8" hidden="1" x14ac:dyDescent="0.25">
      <c r="A66" s="1">
        <v>45696.333333333336</v>
      </c>
      <c r="C66">
        <f>SUM(E61:E66)</f>
        <v>25.900000000000002</v>
      </c>
      <c r="D66">
        <f t="shared" si="0"/>
        <v>25.900000000000002</v>
      </c>
      <c r="E66">
        <v>5.87</v>
      </c>
      <c r="H66">
        <v>25.900000000000002</v>
      </c>
    </row>
    <row r="67" spans="1:8" x14ac:dyDescent="0.25">
      <c r="A67" s="1">
        <v>45696.354166666664</v>
      </c>
      <c r="B67" t="s">
        <v>12</v>
      </c>
      <c r="D67">
        <f t="shared" si="0"/>
        <v>32.33</v>
      </c>
      <c r="E67">
        <v>7.65</v>
      </c>
      <c r="G67" t="s">
        <v>12</v>
      </c>
      <c r="H67">
        <v>32.33</v>
      </c>
    </row>
    <row r="68" spans="1:8" hidden="1" x14ac:dyDescent="0.25">
      <c r="A68" s="1">
        <v>45696.375</v>
      </c>
      <c r="D68">
        <f t="shared" si="0"/>
        <v>47.91</v>
      </c>
      <c r="E68">
        <v>19.690000000000001</v>
      </c>
      <c r="H68">
        <v>47.91</v>
      </c>
    </row>
    <row r="69" spans="1:8" hidden="1" x14ac:dyDescent="0.25">
      <c r="A69" s="1">
        <v>45696.395833333336</v>
      </c>
      <c r="D69">
        <f t="shared" si="0"/>
        <v>57.750000000000007</v>
      </c>
      <c r="E69">
        <v>11.71</v>
      </c>
      <c r="H69">
        <v>57.750000000000007</v>
      </c>
    </row>
    <row r="70" spans="1:8" hidden="1" x14ac:dyDescent="0.25">
      <c r="A70" s="1">
        <v>45696.416666666664</v>
      </c>
      <c r="D70">
        <f t="shared" si="0"/>
        <v>61.610000000000007</v>
      </c>
      <c r="E70">
        <v>8.83</v>
      </c>
      <c r="H70">
        <v>61.610000000000007</v>
      </c>
    </row>
    <row r="71" spans="1:8" hidden="1" x14ac:dyDescent="0.25">
      <c r="A71" s="1">
        <v>45696.4375</v>
      </c>
      <c r="D71">
        <f t="shared" si="0"/>
        <v>62.63</v>
      </c>
      <c r="E71">
        <v>8.8800000000000008</v>
      </c>
      <c r="H71">
        <v>62.63</v>
      </c>
    </row>
    <row r="72" spans="1:8" hidden="1" x14ac:dyDescent="0.25">
      <c r="A72" s="1">
        <v>45696.458333333336</v>
      </c>
      <c r="C72">
        <f>SUM(E67:E72)</f>
        <v>71.61</v>
      </c>
      <c r="D72">
        <f t="shared" ref="D72:D135" si="1">SUM(E67:E72)</f>
        <v>71.61</v>
      </c>
      <c r="E72">
        <v>14.85</v>
      </c>
      <c r="H72">
        <v>71.61</v>
      </c>
    </row>
    <row r="73" spans="1:8" x14ac:dyDescent="0.25">
      <c r="A73" s="1">
        <v>45696.479166666664</v>
      </c>
      <c r="B73" t="s">
        <v>13</v>
      </c>
      <c r="D73">
        <f t="shared" si="1"/>
        <v>66.610000000000014</v>
      </c>
      <c r="E73">
        <v>2.65</v>
      </c>
      <c r="G73" t="s">
        <v>13</v>
      </c>
      <c r="H73">
        <v>66.610000000000014</v>
      </c>
    </row>
    <row r="74" spans="1:8" hidden="1" x14ac:dyDescent="0.25">
      <c r="A74" s="1">
        <v>45696.5</v>
      </c>
      <c r="D74">
        <f t="shared" si="1"/>
        <v>52.89</v>
      </c>
      <c r="E74">
        <v>5.97</v>
      </c>
      <c r="H74">
        <v>52.89</v>
      </c>
    </row>
    <row r="75" spans="1:8" hidden="1" x14ac:dyDescent="0.25">
      <c r="A75" s="1">
        <v>45696.520833333336</v>
      </c>
      <c r="D75">
        <f t="shared" si="1"/>
        <v>41.26</v>
      </c>
      <c r="E75">
        <v>0.08</v>
      </c>
      <c r="H75">
        <v>41.26</v>
      </c>
    </row>
    <row r="76" spans="1:8" hidden="1" x14ac:dyDescent="0.25">
      <c r="A76" s="1">
        <v>45696.541666666664</v>
      </c>
      <c r="D76">
        <f t="shared" si="1"/>
        <v>32.43</v>
      </c>
      <c r="E76">
        <v>0</v>
      </c>
      <c r="H76">
        <v>32.43</v>
      </c>
    </row>
    <row r="77" spans="1:8" hidden="1" x14ac:dyDescent="0.25">
      <c r="A77" s="1">
        <v>45696.5625</v>
      </c>
      <c r="D77">
        <f t="shared" si="1"/>
        <v>23.549999999999997</v>
      </c>
      <c r="E77">
        <v>0</v>
      </c>
      <c r="H77">
        <v>23.549999999999997</v>
      </c>
    </row>
    <row r="78" spans="1:8" hidden="1" x14ac:dyDescent="0.25">
      <c r="A78" s="1">
        <v>45696.583333333336</v>
      </c>
      <c r="C78">
        <f>SUM(E73:E78)</f>
        <v>8.6999999999999993</v>
      </c>
      <c r="D78">
        <f t="shared" si="1"/>
        <v>8.6999999999999993</v>
      </c>
      <c r="E78">
        <v>0</v>
      </c>
      <c r="H78">
        <v>8.6999999999999993</v>
      </c>
    </row>
    <row r="79" spans="1:8" x14ac:dyDescent="0.25">
      <c r="A79" s="1">
        <v>45696.604166666664</v>
      </c>
      <c r="B79" t="s">
        <v>14</v>
      </c>
      <c r="D79">
        <f t="shared" si="1"/>
        <v>6.18</v>
      </c>
      <c r="E79">
        <v>0.13</v>
      </c>
      <c r="G79" t="s">
        <v>14</v>
      </c>
      <c r="H79">
        <v>6.18</v>
      </c>
    </row>
    <row r="80" spans="1:8" hidden="1" x14ac:dyDescent="0.25">
      <c r="A80" s="1">
        <v>45696.625</v>
      </c>
      <c r="D80">
        <f t="shared" si="1"/>
        <v>2.7399999999999998</v>
      </c>
      <c r="E80">
        <v>2.5299999999999998</v>
      </c>
      <c r="H80">
        <v>2.7399999999999998</v>
      </c>
    </row>
    <row r="81" spans="1:8" hidden="1" x14ac:dyDescent="0.25">
      <c r="A81" s="1">
        <v>45696.645833333336</v>
      </c>
      <c r="D81">
        <f t="shared" si="1"/>
        <v>7.09</v>
      </c>
      <c r="E81">
        <v>4.43</v>
      </c>
      <c r="H81">
        <v>7.09</v>
      </c>
    </row>
    <row r="82" spans="1:8" hidden="1" x14ac:dyDescent="0.25">
      <c r="A82" s="1">
        <v>45696.666666666664</v>
      </c>
      <c r="D82">
        <f t="shared" si="1"/>
        <v>16.560000000000002</v>
      </c>
      <c r="E82">
        <v>9.4700000000000006</v>
      </c>
      <c r="H82">
        <v>16.560000000000002</v>
      </c>
    </row>
    <row r="83" spans="1:8" hidden="1" x14ac:dyDescent="0.25">
      <c r="A83" s="1">
        <v>45696.6875</v>
      </c>
      <c r="D83">
        <f t="shared" si="1"/>
        <v>21.550000000000004</v>
      </c>
      <c r="E83">
        <v>4.99</v>
      </c>
      <c r="H83">
        <v>21.550000000000004</v>
      </c>
    </row>
    <row r="84" spans="1:8" hidden="1" x14ac:dyDescent="0.25">
      <c r="A84" s="1">
        <v>45696.708333333336</v>
      </c>
      <c r="C84">
        <f>SUM(E79:E84)</f>
        <v>25.200000000000003</v>
      </c>
      <c r="D84">
        <f t="shared" si="1"/>
        <v>25.200000000000003</v>
      </c>
      <c r="E84">
        <v>3.65</v>
      </c>
      <c r="H84">
        <v>25.200000000000003</v>
      </c>
    </row>
    <row r="85" spans="1:8" x14ac:dyDescent="0.25">
      <c r="A85" s="1">
        <v>45696.729166666664</v>
      </c>
      <c r="B85" t="s">
        <v>15</v>
      </c>
      <c r="D85">
        <f t="shared" si="1"/>
        <v>25.79</v>
      </c>
      <c r="E85">
        <v>0.72</v>
      </c>
      <c r="G85" t="s">
        <v>15</v>
      </c>
      <c r="H85">
        <v>25.79</v>
      </c>
    </row>
    <row r="86" spans="1:8" hidden="1" x14ac:dyDescent="0.25">
      <c r="A86" s="1">
        <v>45696.75</v>
      </c>
      <c r="D86">
        <f t="shared" si="1"/>
        <v>23.27</v>
      </c>
      <c r="E86">
        <v>0.01</v>
      </c>
      <c r="H86">
        <v>23.27</v>
      </c>
    </row>
    <row r="87" spans="1:8" hidden="1" x14ac:dyDescent="0.25">
      <c r="A87" s="1">
        <v>45696.770833333336</v>
      </c>
      <c r="D87">
        <f t="shared" si="1"/>
        <v>20.75</v>
      </c>
      <c r="E87">
        <v>1.91</v>
      </c>
      <c r="H87">
        <v>20.75</v>
      </c>
    </row>
    <row r="88" spans="1:8" hidden="1" x14ac:dyDescent="0.25">
      <c r="A88" s="1">
        <v>45696.791666666664</v>
      </c>
      <c r="D88">
        <f t="shared" si="1"/>
        <v>14.650000000000002</v>
      </c>
      <c r="E88">
        <v>3.37</v>
      </c>
      <c r="H88">
        <v>14.650000000000002</v>
      </c>
    </row>
    <row r="89" spans="1:8" hidden="1" x14ac:dyDescent="0.25">
      <c r="A89" s="1">
        <v>45696.8125</v>
      </c>
      <c r="D89">
        <f t="shared" si="1"/>
        <v>11.54</v>
      </c>
      <c r="E89">
        <v>1.88</v>
      </c>
      <c r="H89">
        <v>11.54</v>
      </c>
    </row>
    <row r="90" spans="1:8" hidden="1" x14ac:dyDescent="0.25">
      <c r="A90" s="1">
        <v>45696.833333333336</v>
      </c>
      <c r="C90">
        <f>SUM(E85:E90)</f>
        <v>9.3099999999999987</v>
      </c>
      <c r="D90">
        <f t="shared" si="1"/>
        <v>9.3099999999999987</v>
      </c>
      <c r="E90">
        <v>1.42</v>
      </c>
      <c r="H90">
        <v>9.3099999999999987</v>
      </c>
    </row>
    <row r="91" spans="1:8" x14ac:dyDescent="0.25">
      <c r="A91" s="1">
        <v>45696.854166666664</v>
      </c>
      <c r="B91" t="s">
        <v>16</v>
      </c>
      <c r="D91">
        <f t="shared" si="1"/>
        <v>17.46</v>
      </c>
      <c r="E91">
        <v>8.8699999999999992</v>
      </c>
      <c r="G91" t="s">
        <v>16</v>
      </c>
      <c r="H91">
        <v>17.46</v>
      </c>
    </row>
    <row r="92" spans="1:8" hidden="1" x14ac:dyDescent="0.25">
      <c r="A92" s="1">
        <v>45696.875</v>
      </c>
      <c r="D92">
        <f t="shared" si="1"/>
        <v>21.06</v>
      </c>
      <c r="E92">
        <v>3.61</v>
      </c>
      <c r="H92">
        <v>21.06</v>
      </c>
    </row>
    <row r="93" spans="1:8" hidden="1" x14ac:dyDescent="0.25">
      <c r="A93" s="1">
        <v>45696.895833333336</v>
      </c>
      <c r="D93">
        <f t="shared" si="1"/>
        <v>27.009999999999998</v>
      </c>
      <c r="E93">
        <v>7.86</v>
      </c>
      <c r="H93">
        <v>27.009999999999998</v>
      </c>
    </row>
    <row r="94" spans="1:8" hidden="1" x14ac:dyDescent="0.25">
      <c r="A94" s="1">
        <v>45696.916666666664</v>
      </c>
      <c r="D94">
        <f t="shared" si="1"/>
        <v>29.889999999999997</v>
      </c>
      <c r="E94">
        <v>6.25</v>
      </c>
      <c r="H94">
        <v>29.889999999999997</v>
      </c>
    </row>
    <row r="95" spans="1:8" hidden="1" x14ac:dyDescent="0.25">
      <c r="A95" s="1">
        <v>45696.9375</v>
      </c>
      <c r="D95">
        <f t="shared" si="1"/>
        <v>31.849999999999998</v>
      </c>
      <c r="E95">
        <v>3.84</v>
      </c>
      <c r="H95">
        <v>31.849999999999998</v>
      </c>
    </row>
    <row r="96" spans="1:8" hidden="1" x14ac:dyDescent="0.25">
      <c r="A96" s="1">
        <v>45696.958333333336</v>
      </c>
      <c r="C96">
        <f>SUM(E91:E96)</f>
        <v>33.69</v>
      </c>
      <c r="D96">
        <f t="shared" si="1"/>
        <v>33.69</v>
      </c>
      <c r="E96">
        <v>3.26</v>
      </c>
      <c r="H96">
        <v>33.69</v>
      </c>
    </row>
    <row r="97" spans="1:8" x14ac:dyDescent="0.25">
      <c r="A97" s="1">
        <v>45696.979166666664</v>
      </c>
      <c r="B97" t="s">
        <v>17</v>
      </c>
      <c r="D97">
        <f t="shared" si="1"/>
        <v>35.32</v>
      </c>
      <c r="E97">
        <v>10.5</v>
      </c>
      <c r="G97" t="s">
        <v>17</v>
      </c>
      <c r="H97">
        <v>35.32</v>
      </c>
    </row>
    <row r="98" spans="1:8" hidden="1" x14ac:dyDescent="0.25">
      <c r="A98" s="1">
        <v>45697</v>
      </c>
      <c r="D98">
        <f t="shared" si="1"/>
        <v>43.36</v>
      </c>
      <c r="E98">
        <v>11.65</v>
      </c>
      <c r="H98">
        <v>43.36</v>
      </c>
    </row>
    <row r="99" spans="1:8" hidden="1" x14ac:dyDescent="0.25">
      <c r="A99" s="1">
        <v>45697.020833333336</v>
      </c>
      <c r="D99">
        <f t="shared" si="1"/>
        <v>46.57</v>
      </c>
      <c r="E99">
        <v>11.07</v>
      </c>
      <c r="H99">
        <v>46.57</v>
      </c>
    </row>
    <row r="100" spans="1:8" hidden="1" x14ac:dyDescent="0.25">
      <c r="A100" s="1">
        <v>45697.041666666664</v>
      </c>
      <c r="D100">
        <f t="shared" si="1"/>
        <v>49.31</v>
      </c>
      <c r="E100">
        <v>8.99</v>
      </c>
      <c r="H100">
        <v>49.31</v>
      </c>
    </row>
    <row r="101" spans="1:8" hidden="1" x14ac:dyDescent="0.25">
      <c r="A101" s="1">
        <v>45697.0625</v>
      </c>
      <c r="D101">
        <f t="shared" si="1"/>
        <v>62.490000000000009</v>
      </c>
      <c r="E101">
        <v>17.02</v>
      </c>
      <c r="H101">
        <v>62.490000000000009</v>
      </c>
    </row>
    <row r="102" spans="1:8" hidden="1" x14ac:dyDescent="0.25">
      <c r="A102" s="1">
        <v>45697.083333333336</v>
      </c>
      <c r="C102">
        <f>SUM(E97:E102)</f>
        <v>78.540000000000006</v>
      </c>
      <c r="D102">
        <f t="shared" si="1"/>
        <v>78.540000000000006</v>
      </c>
      <c r="E102">
        <v>19.309999999999999</v>
      </c>
      <c r="H102">
        <v>78.540000000000006</v>
      </c>
    </row>
    <row r="103" spans="1:8" x14ac:dyDescent="0.25">
      <c r="A103" s="1">
        <v>45697.104166666664</v>
      </c>
      <c r="B103" t="s">
        <v>18</v>
      </c>
      <c r="D103">
        <f t="shared" si="1"/>
        <v>103.33000000000001</v>
      </c>
      <c r="E103">
        <v>35.29</v>
      </c>
      <c r="G103" t="s">
        <v>18</v>
      </c>
      <c r="H103">
        <v>103.33000000000001</v>
      </c>
    </row>
    <row r="104" spans="1:8" hidden="1" x14ac:dyDescent="0.25">
      <c r="A104" s="1">
        <v>45697.125</v>
      </c>
      <c r="D104">
        <f t="shared" si="1"/>
        <v>118.72</v>
      </c>
      <c r="E104">
        <v>27.04</v>
      </c>
      <c r="H104">
        <v>118.72</v>
      </c>
    </row>
    <row r="105" spans="1:8" hidden="1" x14ac:dyDescent="0.25">
      <c r="A105" s="1">
        <v>45697.145833333336</v>
      </c>
      <c r="D105">
        <f t="shared" si="1"/>
        <v>126.83999999999997</v>
      </c>
      <c r="E105">
        <v>19.190000000000001</v>
      </c>
      <c r="H105">
        <v>126.83999999999997</v>
      </c>
    </row>
    <row r="106" spans="1:8" hidden="1" x14ac:dyDescent="0.25">
      <c r="A106" s="1">
        <v>45697.166666666664</v>
      </c>
      <c r="D106">
        <f t="shared" si="1"/>
        <v>133.44</v>
      </c>
      <c r="E106">
        <v>15.59</v>
      </c>
      <c r="H106">
        <v>133.44</v>
      </c>
    </row>
    <row r="107" spans="1:8" hidden="1" x14ac:dyDescent="0.25">
      <c r="A107" s="1">
        <v>45697.1875</v>
      </c>
      <c r="D107">
        <f t="shared" si="1"/>
        <v>124.47999999999999</v>
      </c>
      <c r="E107">
        <v>8.06</v>
      </c>
      <c r="H107">
        <v>124.47999999999999</v>
      </c>
    </row>
    <row r="108" spans="1:8" hidden="1" x14ac:dyDescent="0.25">
      <c r="A108" s="1">
        <v>45697.208333333336</v>
      </c>
      <c r="C108">
        <f>SUM(E103:E108)</f>
        <v>111.61</v>
      </c>
      <c r="D108">
        <f t="shared" si="1"/>
        <v>111.61</v>
      </c>
      <c r="E108">
        <v>6.44</v>
      </c>
      <c r="H108">
        <v>111.61</v>
      </c>
    </row>
    <row r="109" spans="1:8" x14ac:dyDescent="0.25">
      <c r="A109" s="1">
        <v>45697.229166666664</v>
      </c>
      <c r="B109" t="s">
        <v>19</v>
      </c>
      <c r="D109">
        <f t="shared" si="1"/>
        <v>81.900000000000006</v>
      </c>
      <c r="E109">
        <v>5.58</v>
      </c>
      <c r="G109" t="s">
        <v>19</v>
      </c>
      <c r="H109">
        <v>81.900000000000006</v>
      </c>
    </row>
    <row r="110" spans="1:8" hidden="1" x14ac:dyDescent="0.25">
      <c r="A110" s="1">
        <v>45697.25</v>
      </c>
      <c r="D110">
        <f t="shared" si="1"/>
        <v>61.12</v>
      </c>
      <c r="E110">
        <v>6.26</v>
      </c>
      <c r="H110">
        <v>61.12</v>
      </c>
    </row>
    <row r="111" spans="1:8" hidden="1" x14ac:dyDescent="0.25">
      <c r="A111" s="1">
        <v>45697.270833333336</v>
      </c>
      <c r="D111">
        <f t="shared" si="1"/>
        <v>49.59</v>
      </c>
      <c r="E111">
        <v>7.66</v>
      </c>
      <c r="H111">
        <v>49.59</v>
      </c>
    </row>
    <row r="112" spans="1:8" hidden="1" x14ac:dyDescent="0.25">
      <c r="A112" s="1">
        <v>45697.291666666664</v>
      </c>
      <c r="D112">
        <f t="shared" si="1"/>
        <v>40.33</v>
      </c>
      <c r="E112">
        <v>6.33</v>
      </c>
      <c r="H112">
        <v>40.33</v>
      </c>
    </row>
    <row r="113" spans="1:8" hidden="1" x14ac:dyDescent="0.25">
      <c r="A113" s="1">
        <v>45697.3125</v>
      </c>
      <c r="D113">
        <f t="shared" si="1"/>
        <v>38.540000000000006</v>
      </c>
      <c r="E113">
        <v>6.27</v>
      </c>
      <c r="H113">
        <v>38.540000000000006</v>
      </c>
    </row>
    <row r="114" spans="1:8" hidden="1" x14ac:dyDescent="0.25">
      <c r="A114" s="1">
        <v>45697.333333333336</v>
      </c>
      <c r="C114">
        <f>SUM(E109:E114)</f>
        <v>38.309999999999995</v>
      </c>
      <c r="D114">
        <f t="shared" si="1"/>
        <v>38.309999999999995</v>
      </c>
      <c r="E114">
        <v>6.21</v>
      </c>
      <c r="H114">
        <v>38.309999999999995</v>
      </c>
    </row>
    <row r="115" spans="1:8" x14ac:dyDescent="0.25">
      <c r="A115" s="1">
        <v>45697.354166666664</v>
      </c>
      <c r="B115" t="s">
        <v>24</v>
      </c>
      <c r="D115">
        <f t="shared" si="1"/>
        <v>39.159999999999997</v>
      </c>
      <c r="E115">
        <v>6.43</v>
      </c>
      <c r="G115" t="s">
        <v>24</v>
      </c>
      <c r="H115">
        <v>39.159999999999997</v>
      </c>
    </row>
    <row r="116" spans="1:8" hidden="1" x14ac:dyDescent="0.25">
      <c r="A116" s="1">
        <v>45697.375</v>
      </c>
      <c r="D116">
        <f t="shared" si="1"/>
        <v>37.83</v>
      </c>
      <c r="E116">
        <v>4.93</v>
      </c>
      <c r="H116">
        <v>37.83</v>
      </c>
    </row>
    <row r="117" spans="1:8" hidden="1" x14ac:dyDescent="0.25">
      <c r="A117" s="1">
        <v>45697.395833333336</v>
      </c>
      <c r="D117">
        <f t="shared" si="1"/>
        <v>39.53</v>
      </c>
      <c r="E117">
        <v>9.36</v>
      </c>
      <c r="H117">
        <v>39.53</v>
      </c>
    </row>
    <row r="118" spans="1:8" hidden="1" x14ac:dyDescent="0.25">
      <c r="A118" s="1">
        <v>45697.416666666664</v>
      </c>
      <c r="D118">
        <f t="shared" si="1"/>
        <v>41.1</v>
      </c>
      <c r="E118">
        <v>7.9</v>
      </c>
      <c r="H118">
        <v>41.1</v>
      </c>
    </row>
    <row r="119" spans="1:8" hidden="1" x14ac:dyDescent="0.25">
      <c r="A119" s="1">
        <v>45697.4375</v>
      </c>
      <c r="D119">
        <f t="shared" si="1"/>
        <v>41.849999999999994</v>
      </c>
      <c r="E119">
        <v>7.02</v>
      </c>
      <c r="H119">
        <v>41.849999999999994</v>
      </c>
    </row>
    <row r="120" spans="1:8" hidden="1" x14ac:dyDescent="0.25">
      <c r="A120" s="1">
        <v>45697.458333333336</v>
      </c>
      <c r="C120">
        <f>SUM(E115:E120)</f>
        <v>44.86</v>
      </c>
      <c r="D120">
        <f t="shared" si="1"/>
        <v>44.86</v>
      </c>
      <c r="E120">
        <v>9.2200000000000006</v>
      </c>
      <c r="H120">
        <v>44.86</v>
      </c>
    </row>
    <row r="121" spans="1:8" x14ac:dyDescent="0.25">
      <c r="A121" s="1">
        <v>45697.479166666664</v>
      </c>
      <c r="B121" t="s">
        <v>20</v>
      </c>
      <c r="D121">
        <f t="shared" si="1"/>
        <v>46.15</v>
      </c>
      <c r="E121">
        <v>7.72</v>
      </c>
      <c r="G121" t="s">
        <v>20</v>
      </c>
      <c r="H121">
        <v>46.15</v>
      </c>
    </row>
    <row r="122" spans="1:8" hidden="1" x14ac:dyDescent="0.25">
      <c r="A122" s="1">
        <v>45697.5</v>
      </c>
      <c r="D122">
        <f t="shared" si="1"/>
        <v>47.589999999999996</v>
      </c>
      <c r="E122">
        <v>6.37</v>
      </c>
      <c r="H122">
        <v>47.589999999999996</v>
      </c>
    </row>
    <row r="123" spans="1:8" hidden="1" x14ac:dyDescent="0.25">
      <c r="A123" s="1">
        <v>45697.520833333336</v>
      </c>
      <c r="D123">
        <f t="shared" si="1"/>
        <v>46.069999999999993</v>
      </c>
      <c r="E123">
        <v>7.84</v>
      </c>
      <c r="H123">
        <v>46.069999999999993</v>
      </c>
    </row>
    <row r="124" spans="1:8" hidden="1" x14ac:dyDescent="0.25">
      <c r="A124" s="1">
        <v>45697.541666666664</v>
      </c>
      <c r="D124">
        <f t="shared" si="1"/>
        <v>45.31</v>
      </c>
      <c r="E124">
        <v>7.14</v>
      </c>
      <c r="H124">
        <v>45.31</v>
      </c>
    </row>
    <row r="125" spans="1:8" hidden="1" x14ac:dyDescent="0.25">
      <c r="A125" s="1">
        <v>45697.5625</v>
      </c>
      <c r="D125">
        <f t="shared" si="1"/>
        <v>43.04</v>
      </c>
      <c r="E125">
        <v>4.75</v>
      </c>
      <c r="H125">
        <v>43.04</v>
      </c>
    </row>
    <row r="126" spans="1:8" hidden="1" x14ac:dyDescent="0.25">
      <c r="A126" s="1">
        <v>45697.583333333336</v>
      </c>
      <c r="C126">
        <f>SUM(E121:E126)</f>
        <v>38.909999999999997</v>
      </c>
      <c r="D126">
        <f t="shared" si="1"/>
        <v>38.909999999999997</v>
      </c>
      <c r="E126">
        <v>5.09</v>
      </c>
      <c r="H126">
        <v>38.909999999999997</v>
      </c>
    </row>
    <row r="127" spans="1:8" x14ac:dyDescent="0.25">
      <c r="A127" s="1">
        <v>45697.604166666664</v>
      </c>
      <c r="B127" t="s">
        <v>21</v>
      </c>
      <c r="D127">
        <f t="shared" si="1"/>
        <v>42.410000000000004</v>
      </c>
      <c r="E127">
        <v>11.22</v>
      </c>
      <c r="G127" t="s">
        <v>21</v>
      </c>
      <c r="H127">
        <v>42.410000000000004</v>
      </c>
    </row>
    <row r="128" spans="1:8" hidden="1" x14ac:dyDescent="0.25">
      <c r="A128" s="1">
        <v>45697.625</v>
      </c>
      <c r="D128">
        <f t="shared" si="1"/>
        <v>49.54</v>
      </c>
      <c r="E128">
        <v>13.5</v>
      </c>
      <c r="H128">
        <v>49.54</v>
      </c>
    </row>
    <row r="129" spans="1:8" hidden="1" x14ac:dyDescent="0.25">
      <c r="A129" s="1">
        <v>45697.645833333336</v>
      </c>
      <c r="D129">
        <f t="shared" si="1"/>
        <v>68.95</v>
      </c>
      <c r="E129">
        <v>27.25</v>
      </c>
      <c r="H129">
        <v>68.95</v>
      </c>
    </row>
    <row r="130" spans="1:8" hidden="1" x14ac:dyDescent="0.25">
      <c r="A130" s="1">
        <v>45697.666666666664</v>
      </c>
      <c r="D130">
        <f t="shared" si="1"/>
        <v>83.19</v>
      </c>
      <c r="E130">
        <v>21.38</v>
      </c>
      <c r="H130">
        <v>83.19</v>
      </c>
    </row>
    <row r="131" spans="1:8" hidden="1" x14ac:dyDescent="0.25">
      <c r="A131" s="1">
        <v>45697.6875</v>
      </c>
      <c r="D131">
        <f t="shared" si="1"/>
        <v>91.15</v>
      </c>
      <c r="E131">
        <v>12.71</v>
      </c>
      <c r="H131">
        <v>91.15</v>
      </c>
    </row>
    <row r="132" spans="1:8" hidden="1" x14ac:dyDescent="0.25">
      <c r="A132" s="1">
        <v>45697.708333333336</v>
      </c>
      <c r="C132">
        <f>SUM(E127:E132)</f>
        <v>93.34</v>
      </c>
      <c r="D132">
        <f t="shared" si="1"/>
        <v>93.34</v>
      </c>
      <c r="E132">
        <v>7.28</v>
      </c>
      <c r="H132">
        <v>93.34</v>
      </c>
    </row>
    <row r="133" spans="1:8" x14ac:dyDescent="0.25">
      <c r="A133" s="1">
        <v>45697.729166666664</v>
      </c>
      <c r="B133" t="s">
        <v>22</v>
      </c>
      <c r="D133">
        <f t="shared" si="1"/>
        <v>90.19</v>
      </c>
      <c r="E133">
        <v>8.07</v>
      </c>
      <c r="G133" t="s">
        <v>22</v>
      </c>
      <c r="H133">
        <v>90.19</v>
      </c>
    </row>
    <row r="134" spans="1:8" hidden="1" x14ac:dyDescent="0.25">
      <c r="A134" s="1">
        <v>45697.75</v>
      </c>
      <c r="D134">
        <f t="shared" si="1"/>
        <v>86.35</v>
      </c>
      <c r="E134">
        <v>9.66</v>
      </c>
      <c r="H134">
        <v>86.35</v>
      </c>
    </row>
    <row r="135" spans="1:8" hidden="1" x14ac:dyDescent="0.25">
      <c r="A135" s="1">
        <v>45697.770833333336</v>
      </c>
      <c r="D135">
        <f t="shared" si="1"/>
        <v>70.610000000000014</v>
      </c>
      <c r="E135">
        <v>11.51</v>
      </c>
      <c r="H135">
        <v>70.610000000000014</v>
      </c>
    </row>
    <row r="136" spans="1:8" hidden="1" x14ac:dyDescent="0.25">
      <c r="A136" s="1">
        <v>45697.791666666664</v>
      </c>
      <c r="D136">
        <f t="shared" ref="D136:D144" si="2">SUM(E131:E136)</f>
        <v>58.169999999999995</v>
      </c>
      <c r="E136">
        <v>8.94</v>
      </c>
      <c r="H136">
        <v>58.169999999999995</v>
      </c>
    </row>
    <row r="137" spans="1:8" hidden="1" x14ac:dyDescent="0.25">
      <c r="A137" s="1">
        <v>45697.8125</v>
      </c>
      <c r="D137">
        <f t="shared" si="2"/>
        <v>50.94</v>
      </c>
      <c r="E137">
        <v>5.48</v>
      </c>
      <c r="H137">
        <v>50.94</v>
      </c>
    </row>
    <row r="138" spans="1:8" hidden="1" x14ac:dyDescent="0.25">
      <c r="A138" s="1">
        <v>45697.833333333336</v>
      </c>
      <c r="C138">
        <f>SUM(E133:E138)</f>
        <v>49.48</v>
      </c>
      <c r="D138">
        <f t="shared" si="2"/>
        <v>49.48</v>
      </c>
      <c r="E138">
        <v>5.82</v>
      </c>
      <c r="H138">
        <v>49.48</v>
      </c>
    </row>
    <row r="139" spans="1:8" x14ac:dyDescent="0.25">
      <c r="A139" s="1">
        <v>45697.854166666664</v>
      </c>
      <c r="B139" t="s">
        <v>23</v>
      </c>
      <c r="D139">
        <f t="shared" si="2"/>
        <v>50.63</v>
      </c>
      <c r="E139">
        <v>9.2200000000000006</v>
      </c>
      <c r="G139" t="s">
        <v>23</v>
      </c>
      <c r="H139">
        <v>50.63</v>
      </c>
    </row>
    <row r="140" spans="1:8" hidden="1" x14ac:dyDescent="0.25">
      <c r="A140" s="1">
        <v>45697.875</v>
      </c>
      <c r="D140">
        <f t="shared" si="2"/>
        <v>47.53</v>
      </c>
      <c r="E140">
        <v>6.56</v>
      </c>
      <c r="H140">
        <v>47.53</v>
      </c>
    </row>
    <row r="141" spans="1:8" hidden="1" x14ac:dyDescent="0.25">
      <c r="A141" s="1">
        <v>45697.895833333336</v>
      </c>
      <c r="D141">
        <f t="shared" si="2"/>
        <v>45.820000000000007</v>
      </c>
      <c r="E141">
        <v>9.8000000000000007</v>
      </c>
      <c r="H141">
        <v>45.820000000000007</v>
      </c>
    </row>
    <row r="142" spans="1:8" hidden="1" x14ac:dyDescent="0.25">
      <c r="A142" s="1">
        <v>45697.916666666664</v>
      </c>
      <c r="D142">
        <f t="shared" si="2"/>
        <v>40.450000000000003</v>
      </c>
      <c r="E142">
        <v>3.57</v>
      </c>
      <c r="H142">
        <v>40.450000000000003</v>
      </c>
    </row>
    <row r="143" spans="1:8" hidden="1" x14ac:dyDescent="0.25">
      <c r="A143" s="1">
        <v>45697.9375</v>
      </c>
      <c r="D143">
        <f t="shared" si="2"/>
        <v>39.14</v>
      </c>
      <c r="E143">
        <v>4.17</v>
      </c>
      <c r="H143">
        <v>39.14</v>
      </c>
    </row>
    <row r="144" spans="1:8" hidden="1" x14ac:dyDescent="0.25">
      <c r="A144" s="1">
        <v>45697.958333333336</v>
      </c>
      <c r="C144">
        <f>SUM(E139:E144)</f>
        <v>41.17</v>
      </c>
      <c r="D144">
        <f t="shared" si="2"/>
        <v>41.17</v>
      </c>
      <c r="E144">
        <v>7.85</v>
      </c>
      <c r="H144">
        <v>41.17</v>
      </c>
    </row>
    <row r="145" spans="1:8" x14ac:dyDescent="0.25">
      <c r="A145" s="1">
        <v>45697.979166666664</v>
      </c>
      <c r="B145" t="s">
        <v>25</v>
      </c>
      <c r="D145">
        <f>SUM(E140:E145)</f>
        <v>35.700000000000003</v>
      </c>
      <c r="E145">
        <v>3.75</v>
      </c>
      <c r="G145" t="s">
        <v>25</v>
      </c>
      <c r="H145">
        <v>35.700000000000003</v>
      </c>
    </row>
  </sheetData>
  <autoFilter ref="G1:H145" xr:uid="{5829635E-754C-4080-8809-3E0BEDC2B6CE}">
    <filterColumn colId="0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105A-9298-4F69-B9FE-D1084A64B8FB}">
  <dimension ref="A1:F25"/>
  <sheetViews>
    <sheetView tabSelected="1" workbookViewId="0">
      <selection activeCell="R4" sqref="R4"/>
    </sheetView>
  </sheetViews>
  <sheetFormatPr defaultRowHeight="15" x14ac:dyDescent="0.25"/>
  <cols>
    <col min="1" max="1" width="6" bestFit="1" customWidth="1"/>
    <col min="2" max="2" width="7" bestFit="1" customWidth="1"/>
    <col min="3" max="3" width="4.5703125" bestFit="1" customWidth="1"/>
    <col min="4" max="6" width="10" bestFit="1" customWidth="1"/>
  </cols>
  <sheetData>
    <row r="1" spans="1:6" x14ac:dyDescent="0.25">
      <c r="A1" t="s">
        <v>30</v>
      </c>
      <c r="B1" t="s">
        <v>29</v>
      </c>
      <c r="C1" t="s">
        <v>28</v>
      </c>
      <c r="D1" t="s">
        <v>50</v>
      </c>
      <c r="E1" t="s">
        <v>51</v>
      </c>
      <c r="F1" t="s">
        <v>52</v>
      </c>
    </row>
    <row r="2" spans="1:6" x14ac:dyDescent="0.25">
      <c r="B2">
        <v>3.3400000000000003</v>
      </c>
      <c r="C2">
        <v>0.9</v>
      </c>
    </row>
    <row r="3" spans="1:6" x14ac:dyDescent="0.25">
      <c r="A3" t="s">
        <v>3</v>
      </c>
      <c r="B3">
        <v>0</v>
      </c>
      <c r="C3">
        <v>1</v>
      </c>
    </row>
    <row r="4" spans="1:6" x14ac:dyDescent="0.25">
      <c r="B4">
        <v>0.26</v>
      </c>
      <c r="C4">
        <v>0</v>
      </c>
    </row>
    <row r="5" spans="1:6" x14ac:dyDescent="0.25">
      <c r="A5" t="s">
        <v>5</v>
      </c>
      <c r="B5">
        <v>9.6900000000000013</v>
      </c>
      <c r="C5">
        <v>2</v>
      </c>
    </row>
    <row r="6" spans="1:6" x14ac:dyDescent="0.25">
      <c r="B6">
        <v>0</v>
      </c>
      <c r="C6">
        <v>0.8</v>
      </c>
    </row>
    <row r="7" spans="1:6" x14ac:dyDescent="0.25">
      <c r="A7" t="s">
        <v>7</v>
      </c>
      <c r="B7">
        <v>0.47</v>
      </c>
      <c r="C7">
        <v>0</v>
      </c>
    </row>
    <row r="8" spans="1:6" x14ac:dyDescent="0.25">
      <c r="B8">
        <v>19.740000000000002</v>
      </c>
      <c r="C8">
        <v>8</v>
      </c>
    </row>
    <row r="9" spans="1:6" x14ac:dyDescent="0.25">
      <c r="A9" t="s">
        <v>9</v>
      </c>
      <c r="B9">
        <v>97.25</v>
      </c>
      <c r="C9">
        <v>31</v>
      </c>
    </row>
    <row r="10" spans="1:6" x14ac:dyDescent="0.25">
      <c r="B10">
        <v>90.56</v>
      </c>
      <c r="C10">
        <v>31</v>
      </c>
    </row>
    <row r="11" spans="1:6" x14ac:dyDescent="0.25">
      <c r="A11" t="s">
        <v>11</v>
      </c>
      <c r="B11">
        <v>22.27</v>
      </c>
      <c r="C11">
        <v>2</v>
      </c>
    </row>
    <row r="12" spans="1:6" x14ac:dyDescent="0.25">
      <c r="B12">
        <v>32.33</v>
      </c>
      <c r="C12">
        <v>8</v>
      </c>
    </row>
    <row r="13" spans="1:6" x14ac:dyDescent="0.25">
      <c r="A13" t="s">
        <v>13</v>
      </c>
      <c r="B13">
        <v>66.610000000000014</v>
      </c>
      <c r="C13">
        <v>45</v>
      </c>
    </row>
    <row r="14" spans="1:6" x14ac:dyDescent="0.25">
      <c r="B14">
        <v>6.18</v>
      </c>
      <c r="C14">
        <v>5</v>
      </c>
    </row>
    <row r="15" spans="1:6" x14ac:dyDescent="0.25">
      <c r="A15" t="s">
        <v>15</v>
      </c>
      <c r="B15">
        <v>25.79</v>
      </c>
      <c r="C15">
        <v>1</v>
      </c>
    </row>
    <row r="16" spans="1:6" x14ac:dyDescent="0.25">
      <c r="B16">
        <v>17.46</v>
      </c>
      <c r="C16">
        <v>11</v>
      </c>
    </row>
    <row r="17" spans="1:6" x14ac:dyDescent="0.25">
      <c r="A17" t="s">
        <v>17</v>
      </c>
      <c r="B17">
        <v>35.32</v>
      </c>
      <c r="C17">
        <v>38</v>
      </c>
    </row>
    <row r="18" spans="1:6" x14ac:dyDescent="0.25">
      <c r="B18">
        <v>103.33000000000001</v>
      </c>
      <c r="C18">
        <v>150</v>
      </c>
      <c r="D18">
        <v>20.8</v>
      </c>
      <c r="E18">
        <v>1.8999999999999986</v>
      </c>
      <c r="F18">
        <v>0</v>
      </c>
    </row>
    <row r="19" spans="1:6" x14ac:dyDescent="0.25">
      <c r="A19" t="s">
        <v>19</v>
      </c>
      <c r="B19">
        <v>81.900000000000006</v>
      </c>
      <c r="C19">
        <v>72</v>
      </c>
      <c r="D19">
        <v>0.69999999999999574</v>
      </c>
      <c r="E19">
        <v>0.80000000000000071</v>
      </c>
      <c r="F19">
        <v>4.9000000000000004</v>
      </c>
    </row>
    <row r="20" spans="1:6" x14ac:dyDescent="0.25">
      <c r="B20">
        <v>39.159999999999997</v>
      </c>
      <c r="C20">
        <v>12</v>
      </c>
      <c r="D20">
        <v>2.9000000000000057</v>
      </c>
      <c r="E20">
        <v>1.3999999999999986</v>
      </c>
      <c r="F20">
        <v>0.19999999999999929</v>
      </c>
    </row>
    <row r="21" spans="1:6" x14ac:dyDescent="0.25">
      <c r="A21" t="s">
        <v>20</v>
      </c>
      <c r="B21">
        <v>46.15</v>
      </c>
      <c r="C21">
        <v>14</v>
      </c>
      <c r="D21">
        <v>0.89999999999999858</v>
      </c>
      <c r="E21">
        <v>0.5</v>
      </c>
      <c r="F21">
        <v>0</v>
      </c>
    </row>
    <row r="22" spans="1:6" x14ac:dyDescent="0.25">
      <c r="B22">
        <v>42.410000000000004</v>
      </c>
      <c r="C22">
        <v>18</v>
      </c>
      <c r="D22">
        <v>0</v>
      </c>
      <c r="E22">
        <v>0</v>
      </c>
      <c r="F22">
        <v>0</v>
      </c>
    </row>
    <row r="23" spans="1:6" x14ac:dyDescent="0.25">
      <c r="A23" t="s">
        <v>22</v>
      </c>
      <c r="B23">
        <v>90.19</v>
      </c>
      <c r="C23">
        <v>14</v>
      </c>
      <c r="D23">
        <v>0.19999999999999574</v>
      </c>
      <c r="E23">
        <v>0.20000000000000284</v>
      </c>
      <c r="F23">
        <v>0</v>
      </c>
    </row>
    <row r="24" spans="1:6" x14ac:dyDescent="0.25">
      <c r="B24">
        <v>50.63</v>
      </c>
      <c r="C24">
        <v>62</v>
      </c>
      <c r="D24">
        <v>1</v>
      </c>
      <c r="E24">
        <v>6.1999999999999957</v>
      </c>
      <c r="F24">
        <v>0</v>
      </c>
    </row>
    <row r="25" spans="1:6" x14ac:dyDescent="0.25">
      <c r="A25" t="s">
        <v>25</v>
      </c>
      <c r="B25">
        <v>35.700000000000003</v>
      </c>
      <c r="C25">
        <v>9</v>
      </c>
      <c r="D25">
        <v>0.20000000000000284</v>
      </c>
      <c r="E25">
        <v>1.2000000000000028</v>
      </c>
      <c r="F25">
        <v>0.10000000000000053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FEBC-C75E-49A4-873F-75428AAC64DF}">
  <sheetPr filterMode="1"/>
  <dimension ref="A1:H26"/>
  <sheetViews>
    <sheetView workbookViewId="0">
      <selection activeCell="O35" sqref="O35"/>
    </sheetView>
  </sheetViews>
  <sheetFormatPr defaultRowHeight="15" x14ac:dyDescent="0.25"/>
  <cols>
    <col min="6" max="8" width="9.85546875" bestFit="1" customWidth="1"/>
  </cols>
  <sheetData>
    <row r="1" spans="1:8" x14ac:dyDescent="0.25">
      <c r="A1" t="s">
        <v>30</v>
      </c>
      <c r="B1" t="s">
        <v>13</v>
      </c>
      <c r="C1" t="s">
        <v>15</v>
      </c>
      <c r="D1" t="s">
        <v>17</v>
      </c>
      <c r="E1" t="s">
        <v>30</v>
      </c>
      <c r="F1" t="s">
        <v>47</v>
      </c>
      <c r="G1" t="s">
        <v>48</v>
      </c>
      <c r="H1" t="s">
        <v>49</v>
      </c>
    </row>
    <row r="2" spans="1:8" hidden="1" x14ac:dyDescent="0.25">
      <c r="A2" t="s">
        <v>17</v>
      </c>
      <c r="B2">
        <v>8.5</v>
      </c>
      <c r="C2">
        <v>7.7</v>
      </c>
      <c r="D2">
        <v>0</v>
      </c>
    </row>
    <row r="3" spans="1:8" hidden="1" x14ac:dyDescent="0.25">
      <c r="A3" t="s">
        <v>31</v>
      </c>
      <c r="B3">
        <v>15.5</v>
      </c>
      <c r="C3">
        <v>1.7</v>
      </c>
      <c r="D3">
        <v>0</v>
      </c>
    </row>
    <row r="4" spans="1:8" hidden="1" x14ac:dyDescent="0.25">
      <c r="A4" t="s">
        <v>32</v>
      </c>
      <c r="B4">
        <v>2.2000000000000002</v>
      </c>
      <c r="C4">
        <v>0</v>
      </c>
      <c r="D4">
        <v>0</v>
      </c>
    </row>
    <row r="5" spans="1:8" x14ac:dyDescent="0.25">
      <c r="A5" t="s">
        <v>18</v>
      </c>
      <c r="B5">
        <v>3.1</v>
      </c>
      <c r="C5">
        <v>0.1</v>
      </c>
      <c r="D5">
        <v>0</v>
      </c>
      <c r="E5" t="s">
        <v>18</v>
      </c>
      <c r="F5">
        <f t="shared" ref="F5:F26" si="0">SUM(B2:B4)</f>
        <v>26.2</v>
      </c>
      <c r="G5">
        <f t="shared" ref="G5:G26" si="1">SUM(C2:C4)</f>
        <v>9.4</v>
      </c>
      <c r="H5">
        <f t="shared" ref="H5:H26" si="2">SUM(D2:D4)</f>
        <v>0</v>
      </c>
    </row>
    <row r="6" spans="1:8" hidden="1" x14ac:dyDescent="0.25">
      <c r="A6" t="s">
        <v>33</v>
      </c>
      <c r="B6">
        <v>0</v>
      </c>
      <c r="C6">
        <v>0</v>
      </c>
      <c r="D6">
        <v>0</v>
      </c>
      <c r="F6">
        <f t="shared" si="0"/>
        <v>20.8</v>
      </c>
      <c r="G6">
        <f t="shared" si="1"/>
        <v>1.8</v>
      </c>
      <c r="H6">
        <f t="shared" si="2"/>
        <v>0</v>
      </c>
    </row>
    <row r="7" spans="1:8" hidden="1" x14ac:dyDescent="0.25">
      <c r="A7" t="s">
        <v>34</v>
      </c>
      <c r="B7">
        <v>0.2</v>
      </c>
      <c r="C7">
        <v>0.7</v>
      </c>
      <c r="D7">
        <v>3.8</v>
      </c>
      <c r="F7">
        <f t="shared" si="0"/>
        <v>5.3000000000000007</v>
      </c>
      <c r="G7">
        <f t="shared" si="1"/>
        <v>0.1</v>
      </c>
      <c r="H7">
        <f t="shared" si="2"/>
        <v>0</v>
      </c>
    </row>
    <row r="8" spans="1:8" x14ac:dyDescent="0.25">
      <c r="A8" t="s">
        <v>19</v>
      </c>
      <c r="B8">
        <v>0.5</v>
      </c>
      <c r="C8">
        <v>0.2</v>
      </c>
      <c r="D8">
        <v>1.1000000000000001</v>
      </c>
      <c r="E8" t="s">
        <v>19</v>
      </c>
      <c r="F8">
        <f t="shared" si="0"/>
        <v>3.3000000000000003</v>
      </c>
      <c r="G8">
        <f t="shared" si="1"/>
        <v>0.79999999999999993</v>
      </c>
      <c r="H8">
        <f t="shared" si="2"/>
        <v>3.8</v>
      </c>
    </row>
    <row r="9" spans="1:8" hidden="1" x14ac:dyDescent="0.25">
      <c r="A9" t="s">
        <v>35</v>
      </c>
      <c r="B9">
        <v>1</v>
      </c>
      <c r="C9">
        <v>0</v>
      </c>
      <c r="D9">
        <v>0.1</v>
      </c>
      <c r="F9">
        <f t="shared" si="0"/>
        <v>0.7</v>
      </c>
      <c r="G9">
        <f t="shared" si="1"/>
        <v>0.89999999999999991</v>
      </c>
      <c r="H9">
        <f t="shared" si="2"/>
        <v>4.9000000000000004</v>
      </c>
    </row>
    <row r="10" spans="1:8" hidden="1" x14ac:dyDescent="0.25">
      <c r="A10" t="s">
        <v>36</v>
      </c>
      <c r="B10">
        <v>0.6</v>
      </c>
      <c r="C10">
        <v>1.4</v>
      </c>
      <c r="D10">
        <v>0.1</v>
      </c>
      <c r="F10">
        <f t="shared" si="0"/>
        <v>1.7</v>
      </c>
      <c r="G10">
        <f t="shared" si="1"/>
        <v>0.89999999999999991</v>
      </c>
      <c r="H10">
        <f t="shared" si="2"/>
        <v>5</v>
      </c>
    </row>
    <row r="11" spans="1:8" x14ac:dyDescent="0.25">
      <c r="A11" t="s">
        <v>24</v>
      </c>
      <c r="B11">
        <v>1.3</v>
      </c>
      <c r="C11">
        <v>0</v>
      </c>
      <c r="D11">
        <v>0</v>
      </c>
      <c r="E11" t="s">
        <v>19</v>
      </c>
      <c r="F11">
        <f t="shared" si="0"/>
        <v>2.1</v>
      </c>
      <c r="G11">
        <f t="shared" si="1"/>
        <v>1.5999999999999999</v>
      </c>
      <c r="H11">
        <f t="shared" si="2"/>
        <v>1.3000000000000003</v>
      </c>
    </row>
    <row r="12" spans="1:8" hidden="1" x14ac:dyDescent="0.25">
      <c r="A12" t="s">
        <v>37</v>
      </c>
      <c r="B12">
        <v>0.1</v>
      </c>
      <c r="C12">
        <v>0.5</v>
      </c>
      <c r="D12">
        <v>0</v>
      </c>
      <c r="F12">
        <f t="shared" si="0"/>
        <v>2.9000000000000004</v>
      </c>
      <c r="G12">
        <f t="shared" si="1"/>
        <v>1.4</v>
      </c>
      <c r="H12">
        <f t="shared" si="2"/>
        <v>0.2</v>
      </c>
    </row>
    <row r="13" spans="1:8" hidden="1" x14ac:dyDescent="0.25">
      <c r="A13" t="s">
        <v>38</v>
      </c>
      <c r="B13">
        <v>0</v>
      </c>
      <c r="C13">
        <v>0</v>
      </c>
      <c r="D13">
        <v>0</v>
      </c>
      <c r="F13">
        <f t="shared" si="0"/>
        <v>2</v>
      </c>
      <c r="G13">
        <f t="shared" si="1"/>
        <v>1.9</v>
      </c>
      <c r="H13">
        <f t="shared" si="2"/>
        <v>0.1</v>
      </c>
    </row>
    <row r="14" spans="1:8" x14ac:dyDescent="0.25">
      <c r="A14" t="s">
        <v>20</v>
      </c>
      <c r="B14">
        <v>0.7</v>
      </c>
      <c r="C14">
        <v>0</v>
      </c>
      <c r="D14">
        <v>0</v>
      </c>
      <c r="E14" t="s">
        <v>20</v>
      </c>
      <c r="F14">
        <f t="shared" si="0"/>
        <v>1.4000000000000001</v>
      </c>
      <c r="G14">
        <f t="shared" si="1"/>
        <v>0.5</v>
      </c>
      <c r="H14">
        <f t="shared" si="2"/>
        <v>0</v>
      </c>
    </row>
    <row r="15" spans="1:8" hidden="1" x14ac:dyDescent="0.25">
      <c r="A15" t="s">
        <v>39</v>
      </c>
      <c r="B15">
        <v>0</v>
      </c>
      <c r="C15">
        <v>0</v>
      </c>
      <c r="D15">
        <v>0</v>
      </c>
      <c r="F15">
        <f t="shared" si="0"/>
        <v>0.79999999999999993</v>
      </c>
      <c r="G15">
        <f t="shared" si="1"/>
        <v>0.5</v>
      </c>
      <c r="H15">
        <f t="shared" si="2"/>
        <v>0</v>
      </c>
    </row>
    <row r="16" spans="1:8" hidden="1" x14ac:dyDescent="0.25">
      <c r="A16" t="s">
        <v>40</v>
      </c>
      <c r="B16">
        <v>0</v>
      </c>
      <c r="C16">
        <v>0</v>
      </c>
      <c r="D16">
        <v>0</v>
      </c>
      <c r="F16">
        <f t="shared" si="0"/>
        <v>0.7</v>
      </c>
      <c r="G16">
        <f t="shared" si="1"/>
        <v>0</v>
      </c>
      <c r="H16">
        <f t="shared" si="2"/>
        <v>0</v>
      </c>
    </row>
    <row r="17" spans="1:8" x14ac:dyDescent="0.25">
      <c r="A17" t="s">
        <v>21</v>
      </c>
      <c r="B17">
        <v>0</v>
      </c>
      <c r="C17">
        <v>0</v>
      </c>
      <c r="D17">
        <v>0</v>
      </c>
      <c r="E17" t="s">
        <v>21</v>
      </c>
      <c r="F17">
        <f t="shared" si="0"/>
        <v>0.7</v>
      </c>
      <c r="G17">
        <f t="shared" si="1"/>
        <v>0</v>
      </c>
      <c r="H17">
        <f t="shared" si="2"/>
        <v>0</v>
      </c>
    </row>
    <row r="18" spans="1:8" hidden="1" x14ac:dyDescent="0.25">
      <c r="A18" t="s">
        <v>41</v>
      </c>
      <c r="B18">
        <v>0</v>
      </c>
      <c r="C18">
        <v>0</v>
      </c>
      <c r="D18">
        <v>0</v>
      </c>
      <c r="F18">
        <f t="shared" si="0"/>
        <v>0</v>
      </c>
      <c r="G18">
        <f t="shared" si="1"/>
        <v>0</v>
      </c>
      <c r="H18">
        <f t="shared" si="2"/>
        <v>0</v>
      </c>
    </row>
    <row r="19" spans="1:8" hidden="1" x14ac:dyDescent="0.25">
      <c r="A19" t="s">
        <v>42</v>
      </c>
      <c r="B19">
        <v>0.2</v>
      </c>
      <c r="C19">
        <v>0.1</v>
      </c>
      <c r="D19">
        <v>0</v>
      </c>
      <c r="F19">
        <f t="shared" si="0"/>
        <v>0</v>
      </c>
      <c r="G19">
        <f t="shared" si="1"/>
        <v>0</v>
      </c>
      <c r="H19">
        <f t="shared" si="2"/>
        <v>0</v>
      </c>
    </row>
    <row r="20" spans="1:8" x14ac:dyDescent="0.25">
      <c r="A20" t="s">
        <v>22</v>
      </c>
      <c r="B20">
        <v>0</v>
      </c>
      <c r="C20">
        <v>0.1</v>
      </c>
      <c r="D20">
        <v>0</v>
      </c>
      <c r="E20" t="s">
        <v>22</v>
      </c>
      <c r="F20">
        <f t="shared" si="0"/>
        <v>0.2</v>
      </c>
      <c r="G20">
        <f t="shared" si="1"/>
        <v>0.1</v>
      </c>
      <c r="H20">
        <f t="shared" si="2"/>
        <v>0</v>
      </c>
    </row>
    <row r="21" spans="1:8" hidden="1" x14ac:dyDescent="0.25">
      <c r="A21" t="s">
        <v>43</v>
      </c>
      <c r="B21">
        <v>0</v>
      </c>
      <c r="C21">
        <v>0</v>
      </c>
      <c r="D21">
        <v>0</v>
      </c>
      <c r="F21">
        <f t="shared" si="0"/>
        <v>0.2</v>
      </c>
      <c r="G21">
        <f t="shared" si="1"/>
        <v>0.2</v>
      </c>
      <c r="H21">
        <f t="shared" si="2"/>
        <v>0</v>
      </c>
    </row>
    <row r="22" spans="1:8" hidden="1" x14ac:dyDescent="0.25">
      <c r="A22" t="s">
        <v>44</v>
      </c>
      <c r="B22">
        <v>0.3</v>
      </c>
      <c r="C22">
        <v>4.5</v>
      </c>
      <c r="D22">
        <v>0</v>
      </c>
      <c r="F22">
        <f t="shared" si="0"/>
        <v>0.2</v>
      </c>
      <c r="G22">
        <f t="shared" si="1"/>
        <v>0.2</v>
      </c>
      <c r="H22">
        <f t="shared" si="2"/>
        <v>0</v>
      </c>
    </row>
    <row r="23" spans="1:8" x14ac:dyDescent="0.25">
      <c r="A23" t="s">
        <v>23</v>
      </c>
      <c r="B23">
        <v>0.6</v>
      </c>
      <c r="C23">
        <v>1.7</v>
      </c>
      <c r="D23">
        <v>0</v>
      </c>
      <c r="E23" t="s">
        <v>23</v>
      </c>
      <c r="F23">
        <f t="shared" si="0"/>
        <v>0.3</v>
      </c>
      <c r="G23">
        <f t="shared" si="1"/>
        <v>4.5999999999999996</v>
      </c>
      <c r="H23">
        <f t="shared" si="2"/>
        <v>0</v>
      </c>
    </row>
    <row r="24" spans="1:8" hidden="1" x14ac:dyDescent="0.25">
      <c r="A24" t="s">
        <v>45</v>
      </c>
      <c r="B24">
        <v>0.1</v>
      </c>
      <c r="C24">
        <v>0.3</v>
      </c>
      <c r="D24">
        <v>0</v>
      </c>
      <c r="F24">
        <f t="shared" si="0"/>
        <v>0.89999999999999991</v>
      </c>
      <c r="G24">
        <f t="shared" si="1"/>
        <v>6.2</v>
      </c>
      <c r="H24">
        <f t="shared" si="2"/>
        <v>0</v>
      </c>
    </row>
    <row r="25" spans="1:8" hidden="1" x14ac:dyDescent="0.25">
      <c r="A25" t="s">
        <v>46</v>
      </c>
      <c r="B25">
        <v>0.1</v>
      </c>
      <c r="C25">
        <v>0.9</v>
      </c>
      <c r="D25">
        <v>0</v>
      </c>
      <c r="F25">
        <f t="shared" si="0"/>
        <v>0.99999999999999989</v>
      </c>
      <c r="G25">
        <f t="shared" si="1"/>
        <v>6.5</v>
      </c>
      <c r="H25">
        <f t="shared" si="2"/>
        <v>0</v>
      </c>
    </row>
    <row r="26" spans="1:8" x14ac:dyDescent="0.25">
      <c r="A26" t="s">
        <v>25</v>
      </c>
      <c r="E26" t="s">
        <v>25</v>
      </c>
      <c r="F26">
        <f t="shared" si="0"/>
        <v>0.79999999999999993</v>
      </c>
      <c r="G26">
        <f t="shared" si="1"/>
        <v>2.9</v>
      </c>
      <c r="H26">
        <f t="shared" si="2"/>
        <v>0</v>
      </c>
    </row>
  </sheetData>
  <autoFilter ref="E1:H26" xr:uid="{8FABFEBC-C75E-49A4-873F-75428AAC64DF}">
    <filterColumn colId="0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FED7-5F24-4E52-8352-50F3FA655AE3}">
  <sheetPr filterMode="1"/>
  <dimension ref="A1:H26"/>
  <sheetViews>
    <sheetView workbookViewId="0">
      <selection activeCell="G5" sqref="G5"/>
    </sheetView>
  </sheetViews>
  <sheetFormatPr defaultRowHeight="15" x14ac:dyDescent="0.25"/>
  <cols>
    <col min="6" max="8" width="9.85546875" bestFit="1" customWidth="1"/>
  </cols>
  <sheetData>
    <row r="1" spans="1:8" x14ac:dyDescent="0.25">
      <c r="A1" t="s">
        <v>30</v>
      </c>
      <c r="B1" t="s">
        <v>13</v>
      </c>
      <c r="C1" t="s">
        <v>15</v>
      </c>
      <c r="D1" t="s">
        <v>17</v>
      </c>
      <c r="E1" t="s">
        <v>30</v>
      </c>
      <c r="F1" t="s">
        <v>47</v>
      </c>
      <c r="G1" t="s">
        <v>48</v>
      </c>
      <c r="H1" t="s">
        <v>49</v>
      </c>
    </row>
    <row r="2" spans="1:8" hidden="1" x14ac:dyDescent="0.25">
      <c r="A2" t="s">
        <v>17</v>
      </c>
      <c r="B2">
        <v>25.8</v>
      </c>
      <c r="C2">
        <v>23.3</v>
      </c>
      <c r="D2">
        <v>0</v>
      </c>
    </row>
    <row r="3" spans="1:8" hidden="1" x14ac:dyDescent="0.25">
      <c r="A3" t="s">
        <v>31</v>
      </c>
      <c r="B3">
        <v>41.4</v>
      </c>
      <c r="C3">
        <v>25</v>
      </c>
      <c r="D3">
        <v>0</v>
      </c>
    </row>
    <row r="4" spans="1:8" hidden="1" x14ac:dyDescent="0.25">
      <c r="A4" t="s">
        <v>32</v>
      </c>
      <c r="B4">
        <v>43.6</v>
      </c>
      <c r="C4">
        <v>25</v>
      </c>
      <c r="D4">
        <v>0</v>
      </c>
    </row>
    <row r="5" spans="1:8" x14ac:dyDescent="0.25">
      <c r="A5" t="s">
        <v>18</v>
      </c>
      <c r="B5">
        <v>46.6</v>
      </c>
      <c r="C5">
        <v>25.2</v>
      </c>
      <c r="D5">
        <v>0</v>
      </c>
      <c r="E5" t="s">
        <v>18</v>
      </c>
      <c r="F5">
        <f>B5-B2</f>
        <v>20.8</v>
      </c>
      <c r="G5">
        <f t="shared" ref="G5:H5" si="0">C5-C2</f>
        <v>1.8999999999999986</v>
      </c>
      <c r="H5">
        <f t="shared" si="0"/>
        <v>0</v>
      </c>
    </row>
    <row r="6" spans="1:8" hidden="1" x14ac:dyDescent="0.25">
      <c r="A6" t="s">
        <v>33</v>
      </c>
      <c r="B6">
        <v>46.6</v>
      </c>
      <c r="C6">
        <v>25.2</v>
      </c>
      <c r="D6">
        <v>0</v>
      </c>
      <c r="F6">
        <f t="shared" ref="F6:F26" si="1">B6-B3</f>
        <v>5.2000000000000028</v>
      </c>
      <c r="G6">
        <f t="shared" ref="G6:G26" si="2">C6-C3</f>
        <v>0.19999999999999929</v>
      </c>
      <c r="H6">
        <f t="shared" ref="H6:H26" si="3">D6-D3</f>
        <v>0</v>
      </c>
    </row>
    <row r="7" spans="1:8" hidden="1" x14ac:dyDescent="0.25">
      <c r="A7" t="s">
        <v>34</v>
      </c>
      <c r="B7">
        <v>46.8</v>
      </c>
      <c r="C7">
        <v>25.8</v>
      </c>
      <c r="D7">
        <v>3.9</v>
      </c>
      <c r="F7">
        <f t="shared" si="1"/>
        <v>3.1999999999999957</v>
      </c>
      <c r="G7">
        <f t="shared" si="2"/>
        <v>0.80000000000000071</v>
      </c>
      <c r="H7">
        <f t="shared" si="3"/>
        <v>3.9</v>
      </c>
    </row>
    <row r="8" spans="1:8" x14ac:dyDescent="0.25">
      <c r="A8" t="s">
        <v>19</v>
      </c>
      <c r="B8">
        <v>47.3</v>
      </c>
      <c r="C8">
        <v>26</v>
      </c>
      <c r="D8">
        <v>4.9000000000000004</v>
      </c>
      <c r="E8" t="s">
        <v>19</v>
      </c>
      <c r="F8">
        <f>B8-B5</f>
        <v>0.69999999999999574</v>
      </c>
      <c r="G8">
        <f t="shared" si="2"/>
        <v>0.80000000000000071</v>
      </c>
      <c r="H8">
        <f t="shared" si="3"/>
        <v>4.9000000000000004</v>
      </c>
    </row>
    <row r="9" spans="1:8" hidden="1" x14ac:dyDescent="0.25">
      <c r="A9" t="s">
        <v>35</v>
      </c>
      <c r="B9">
        <v>48.3</v>
      </c>
      <c r="C9">
        <v>26</v>
      </c>
      <c r="D9">
        <v>5</v>
      </c>
      <c r="F9">
        <f t="shared" si="1"/>
        <v>1.6999999999999957</v>
      </c>
      <c r="G9">
        <f t="shared" si="2"/>
        <v>0.80000000000000071</v>
      </c>
      <c r="H9">
        <f t="shared" si="3"/>
        <v>5</v>
      </c>
    </row>
    <row r="10" spans="1:8" hidden="1" x14ac:dyDescent="0.25">
      <c r="A10" t="s">
        <v>36</v>
      </c>
      <c r="B10">
        <v>48.9</v>
      </c>
      <c r="C10">
        <v>27.4</v>
      </c>
      <c r="D10">
        <v>5.0999999999999996</v>
      </c>
      <c r="F10">
        <f t="shared" si="1"/>
        <v>2.1000000000000014</v>
      </c>
      <c r="G10">
        <f t="shared" si="2"/>
        <v>1.5999999999999979</v>
      </c>
      <c r="H10">
        <f t="shared" si="3"/>
        <v>1.1999999999999997</v>
      </c>
    </row>
    <row r="11" spans="1:8" x14ac:dyDescent="0.25">
      <c r="A11" t="s">
        <v>24</v>
      </c>
      <c r="B11">
        <v>50.2</v>
      </c>
      <c r="C11">
        <v>27.4</v>
      </c>
      <c r="D11">
        <v>5.0999999999999996</v>
      </c>
      <c r="E11" t="s">
        <v>19</v>
      </c>
      <c r="F11">
        <f t="shared" si="1"/>
        <v>2.9000000000000057</v>
      </c>
      <c r="G11">
        <f t="shared" si="2"/>
        <v>1.3999999999999986</v>
      </c>
      <c r="H11">
        <f t="shared" si="3"/>
        <v>0.19999999999999929</v>
      </c>
    </row>
    <row r="12" spans="1:8" hidden="1" x14ac:dyDescent="0.25">
      <c r="A12" t="s">
        <v>37</v>
      </c>
      <c r="B12">
        <v>50.3</v>
      </c>
      <c r="C12">
        <v>27.9</v>
      </c>
      <c r="D12">
        <v>5.0999999999999996</v>
      </c>
      <c r="F12">
        <f t="shared" si="1"/>
        <v>2</v>
      </c>
      <c r="G12">
        <f t="shared" si="2"/>
        <v>1.8999999999999986</v>
      </c>
      <c r="H12">
        <f t="shared" si="3"/>
        <v>9.9999999999999645E-2</v>
      </c>
    </row>
    <row r="13" spans="1:8" hidden="1" x14ac:dyDescent="0.25">
      <c r="A13" t="s">
        <v>38</v>
      </c>
      <c r="B13">
        <v>50.3</v>
      </c>
      <c r="C13">
        <v>27.9</v>
      </c>
      <c r="D13">
        <v>5.0999999999999996</v>
      </c>
      <c r="F13">
        <f t="shared" si="1"/>
        <v>1.3999999999999986</v>
      </c>
      <c r="G13">
        <f t="shared" si="2"/>
        <v>0.5</v>
      </c>
      <c r="H13">
        <f t="shared" si="3"/>
        <v>0</v>
      </c>
    </row>
    <row r="14" spans="1:8" x14ac:dyDescent="0.25">
      <c r="A14" t="s">
        <v>20</v>
      </c>
      <c r="B14">
        <v>51.1</v>
      </c>
      <c r="C14">
        <v>27.9</v>
      </c>
      <c r="D14">
        <v>5.0999999999999996</v>
      </c>
      <c r="E14" t="s">
        <v>20</v>
      </c>
      <c r="F14">
        <f t="shared" si="1"/>
        <v>0.89999999999999858</v>
      </c>
      <c r="G14">
        <f t="shared" si="2"/>
        <v>0.5</v>
      </c>
      <c r="H14">
        <f t="shared" si="3"/>
        <v>0</v>
      </c>
    </row>
    <row r="15" spans="1:8" hidden="1" x14ac:dyDescent="0.25">
      <c r="A15" t="s">
        <v>39</v>
      </c>
      <c r="B15">
        <v>51.1</v>
      </c>
      <c r="C15">
        <v>27.9</v>
      </c>
      <c r="D15">
        <v>5.0999999999999996</v>
      </c>
      <c r="F15">
        <f t="shared" si="1"/>
        <v>0.80000000000000426</v>
      </c>
      <c r="G15">
        <f t="shared" si="2"/>
        <v>0</v>
      </c>
      <c r="H15">
        <f t="shared" si="3"/>
        <v>0</v>
      </c>
    </row>
    <row r="16" spans="1:8" hidden="1" x14ac:dyDescent="0.25">
      <c r="A16" t="s">
        <v>40</v>
      </c>
      <c r="B16">
        <v>51.1</v>
      </c>
      <c r="C16">
        <v>27.9</v>
      </c>
      <c r="D16">
        <v>5.0999999999999996</v>
      </c>
      <c r="F16">
        <f t="shared" si="1"/>
        <v>0.80000000000000426</v>
      </c>
      <c r="G16">
        <f t="shared" si="2"/>
        <v>0</v>
      </c>
      <c r="H16">
        <f t="shared" si="3"/>
        <v>0</v>
      </c>
    </row>
    <row r="17" spans="1:8" x14ac:dyDescent="0.25">
      <c r="A17" t="s">
        <v>21</v>
      </c>
      <c r="B17">
        <v>51.1</v>
      </c>
      <c r="C17">
        <v>27.9</v>
      </c>
      <c r="D17">
        <v>5.0999999999999996</v>
      </c>
      <c r="E17" t="s">
        <v>21</v>
      </c>
      <c r="F17">
        <f t="shared" si="1"/>
        <v>0</v>
      </c>
      <c r="G17">
        <f t="shared" si="2"/>
        <v>0</v>
      </c>
      <c r="H17">
        <f>D17-D14</f>
        <v>0</v>
      </c>
    </row>
    <row r="18" spans="1:8" hidden="1" x14ac:dyDescent="0.25">
      <c r="A18" t="s">
        <v>41</v>
      </c>
      <c r="B18">
        <v>51.1</v>
      </c>
      <c r="C18">
        <v>27.9</v>
      </c>
      <c r="D18">
        <v>5.0999999999999996</v>
      </c>
      <c r="F18">
        <f t="shared" si="1"/>
        <v>0</v>
      </c>
      <c r="G18">
        <f t="shared" si="2"/>
        <v>0</v>
      </c>
      <c r="H18">
        <f t="shared" si="3"/>
        <v>0</v>
      </c>
    </row>
    <row r="19" spans="1:8" hidden="1" x14ac:dyDescent="0.25">
      <c r="A19" t="s">
        <v>42</v>
      </c>
      <c r="B19">
        <v>51.3</v>
      </c>
      <c r="C19">
        <v>28</v>
      </c>
      <c r="D19">
        <v>5.0999999999999996</v>
      </c>
      <c r="F19">
        <f t="shared" si="1"/>
        <v>0.19999999999999574</v>
      </c>
      <c r="G19">
        <f t="shared" si="2"/>
        <v>0.10000000000000142</v>
      </c>
      <c r="H19">
        <f t="shared" si="3"/>
        <v>0</v>
      </c>
    </row>
    <row r="20" spans="1:8" x14ac:dyDescent="0.25">
      <c r="A20" t="s">
        <v>22</v>
      </c>
      <c r="B20">
        <v>51.3</v>
      </c>
      <c r="C20">
        <v>28.1</v>
      </c>
      <c r="D20">
        <v>5.0999999999999996</v>
      </c>
      <c r="E20" t="s">
        <v>22</v>
      </c>
      <c r="F20">
        <f t="shared" si="1"/>
        <v>0.19999999999999574</v>
      </c>
      <c r="G20">
        <f t="shared" si="2"/>
        <v>0.20000000000000284</v>
      </c>
      <c r="H20">
        <f t="shared" si="3"/>
        <v>0</v>
      </c>
    </row>
    <row r="21" spans="1:8" hidden="1" x14ac:dyDescent="0.25">
      <c r="A21" t="s">
        <v>43</v>
      </c>
      <c r="B21">
        <v>51.3</v>
      </c>
      <c r="C21">
        <v>28.2</v>
      </c>
      <c r="D21">
        <v>5.0999999999999996</v>
      </c>
      <c r="F21">
        <f t="shared" si="1"/>
        <v>0.19999999999999574</v>
      </c>
      <c r="G21">
        <f t="shared" si="2"/>
        <v>0.30000000000000071</v>
      </c>
      <c r="H21">
        <f t="shared" si="3"/>
        <v>0</v>
      </c>
    </row>
    <row r="22" spans="1:8" hidden="1" x14ac:dyDescent="0.25">
      <c r="A22" t="s">
        <v>44</v>
      </c>
      <c r="B22">
        <v>51.7</v>
      </c>
      <c r="C22">
        <v>32.6</v>
      </c>
      <c r="D22">
        <v>5.0999999999999996</v>
      </c>
      <c r="F22">
        <f t="shared" si="1"/>
        <v>0.40000000000000568</v>
      </c>
      <c r="G22">
        <f t="shared" si="2"/>
        <v>4.6000000000000014</v>
      </c>
      <c r="H22">
        <f t="shared" si="3"/>
        <v>0</v>
      </c>
    </row>
    <row r="23" spans="1:8" x14ac:dyDescent="0.25">
      <c r="A23" t="s">
        <v>23</v>
      </c>
      <c r="B23">
        <v>52.3</v>
      </c>
      <c r="C23">
        <v>34.299999999999997</v>
      </c>
      <c r="D23">
        <v>5.0999999999999996</v>
      </c>
      <c r="E23" t="s">
        <v>23</v>
      </c>
      <c r="F23">
        <f t="shared" si="1"/>
        <v>1</v>
      </c>
      <c r="G23">
        <f t="shared" si="2"/>
        <v>6.1999999999999957</v>
      </c>
      <c r="H23">
        <f t="shared" si="3"/>
        <v>0</v>
      </c>
    </row>
    <row r="24" spans="1:8" hidden="1" x14ac:dyDescent="0.25">
      <c r="A24" t="s">
        <v>45</v>
      </c>
      <c r="B24">
        <v>52.4</v>
      </c>
      <c r="C24">
        <v>34.6</v>
      </c>
      <c r="D24">
        <v>5.0999999999999996</v>
      </c>
      <c r="F24">
        <f t="shared" si="1"/>
        <v>1.1000000000000014</v>
      </c>
      <c r="G24">
        <f t="shared" si="2"/>
        <v>6.4000000000000021</v>
      </c>
      <c r="H24">
        <f t="shared" si="3"/>
        <v>0</v>
      </c>
    </row>
    <row r="25" spans="1:8" hidden="1" x14ac:dyDescent="0.25">
      <c r="A25" t="s">
        <v>46</v>
      </c>
      <c r="B25">
        <v>52.5</v>
      </c>
      <c r="C25">
        <v>35.5</v>
      </c>
      <c r="D25">
        <v>5.0999999999999996</v>
      </c>
      <c r="F25">
        <f t="shared" si="1"/>
        <v>0.79999999999999716</v>
      </c>
      <c r="G25">
        <f t="shared" si="2"/>
        <v>2.8999999999999986</v>
      </c>
      <c r="H25">
        <f t="shared" si="3"/>
        <v>0</v>
      </c>
    </row>
    <row r="26" spans="1:8" x14ac:dyDescent="0.25">
      <c r="A26" t="s">
        <v>25</v>
      </c>
      <c r="B26">
        <v>52.5</v>
      </c>
      <c r="C26">
        <v>35.5</v>
      </c>
      <c r="D26">
        <v>5.2</v>
      </c>
      <c r="E26" t="s">
        <v>25</v>
      </c>
      <c r="F26">
        <f t="shared" si="1"/>
        <v>0.20000000000000284</v>
      </c>
      <c r="G26">
        <f t="shared" si="2"/>
        <v>1.2000000000000028</v>
      </c>
      <c r="H26">
        <f t="shared" si="3"/>
        <v>0.10000000000000053</v>
      </c>
    </row>
  </sheetData>
  <autoFilter ref="E1:H26" xr:uid="{6529FED7-5F24-4E52-8352-50F3FA655AE3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imerg_30min</vt:lpstr>
      <vt:lpstr>chart</vt:lpstr>
      <vt:lpstr>WRF</vt:lpstr>
      <vt:lpstr>WRF_2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DJEV</dc:creator>
  <cp:lastModifiedBy>DJEV</cp:lastModifiedBy>
  <dcterms:created xsi:type="dcterms:W3CDTF">2025-08-07T21:43:51Z</dcterms:created>
  <dcterms:modified xsi:type="dcterms:W3CDTF">2025-08-08T15:54:41Z</dcterms:modified>
</cp:coreProperties>
</file>